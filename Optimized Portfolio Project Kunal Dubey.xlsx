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32F22972-55E2-4F60-BC4E-D08BCD27077A}" xr6:coauthVersionLast="47" xr6:coauthVersionMax="47" xr10:uidLastSave="{00000000-0000-0000-0000-000000000000}"/>
  <bookViews>
    <workbookView xWindow="-120" yWindow="-120" windowWidth="29040" windowHeight="16440" xr2:uid="{B24E8C6F-F6E2-4EC0-90E7-E835D478E501}"/>
  </bookViews>
  <sheets>
    <sheet name="Portfolio_Model" sheetId="4" r:id="rId1"/>
    <sheet name="Correlation_Heatmap" sheetId="6" r:id="rId2"/>
    <sheet name="Matrices" sheetId="5" r:id="rId3"/>
    <sheet name="Returns" sheetId="2" r:id="rId4"/>
    <sheet name="Historical_Data" sheetId="1" r:id="rId5"/>
  </sheets>
  <definedNames>
    <definedName name="solver_adj" localSheetId="0" hidden="1">Portfolio_Model!$B$2:$I$2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Portfolio_Model!$J$2</definedName>
    <definedName name="solver_lhs2" localSheetId="0" hidden="1">Portfolio_Model!$J$2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Portfolio_Model!$C$8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1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6" l="1"/>
  <c r="I7" i="6"/>
  <c r="I6" i="6"/>
  <c r="I5" i="6"/>
  <c r="I4" i="6"/>
  <c r="I3" i="6"/>
  <c r="I2" i="6"/>
  <c r="H7" i="6"/>
  <c r="H6" i="6"/>
  <c r="H5" i="6"/>
  <c r="H4" i="6"/>
  <c r="H3" i="6"/>
  <c r="H2" i="6"/>
  <c r="G6" i="6"/>
  <c r="G5" i="6"/>
  <c r="G4" i="6"/>
  <c r="G3" i="6"/>
  <c r="G2" i="6"/>
  <c r="F5" i="6"/>
  <c r="F4" i="6"/>
  <c r="F3" i="6"/>
  <c r="F2" i="6"/>
  <c r="E4" i="6"/>
  <c r="E3" i="6"/>
  <c r="E2" i="6"/>
  <c r="D3" i="6"/>
  <c r="D2" i="6"/>
  <c r="C2" i="6"/>
  <c r="F3" i="4"/>
  <c r="J2" i="4"/>
  <c r="F6" i="5"/>
  <c r="F64" i="2"/>
  <c r="F65" i="2"/>
  <c r="F66" i="2"/>
  <c r="F6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2" i="2"/>
  <c r="I2" i="1" a="1"/>
  <c r="H2" i="1" a="1"/>
  <c r="G2" i="1" a="1"/>
  <c r="E2" i="1" a="1"/>
  <c r="D2" i="1" a="1"/>
  <c r="C2" i="1" a="1"/>
  <c r="A2" i="1" a="1"/>
  <c r="I57" i="2" l="1"/>
  <c r="I50" i="2"/>
  <c r="I59" i="2"/>
  <c r="I60" i="2"/>
  <c r="I40" i="2"/>
  <c r="I54" i="2"/>
  <c r="I17" i="2"/>
  <c r="I11" i="2"/>
  <c r="I42" i="2"/>
  <c r="I58" i="2"/>
  <c r="I6" i="2"/>
  <c r="I61" i="2"/>
  <c r="I25" i="2"/>
  <c r="I18" i="2"/>
  <c r="I39" i="2"/>
  <c r="I30" i="2"/>
  <c r="I2" i="2"/>
  <c r="I15" i="2"/>
  <c r="I16" i="2"/>
  <c r="I14" i="2"/>
  <c r="I19" i="2"/>
  <c r="I43" i="2"/>
  <c r="I45" i="2"/>
  <c r="I33" i="2"/>
  <c r="I38" i="2"/>
  <c r="I52" i="2"/>
  <c r="I3" i="2"/>
  <c r="I20" i="2"/>
  <c r="I49" i="2"/>
  <c r="I4" i="2"/>
  <c r="I29" i="2"/>
  <c r="I44" i="2"/>
  <c r="I37" i="2"/>
  <c r="I26" i="2"/>
  <c r="I21" i="2"/>
  <c r="I56" i="2"/>
  <c r="I32" i="2"/>
  <c r="I48" i="2"/>
  <c r="I51" i="2"/>
  <c r="I7" i="2"/>
  <c r="I9" i="2"/>
  <c r="I22" i="2"/>
  <c r="I8" i="2"/>
  <c r="I5" i="2"/>
  <c r="I36" i="2"/>
  <c r="I55" i="2"/>
  <c r="I10" i="2"/>
  <c r="I31" i="2"/>
  <c r="I23" i="2"/>
  <c r="I53" i="2"/>
  <c r="I35" i="2"/>
  <c r="I28" i="2"/>
  <c r="I13" i="2"/>
  <c r="I34" i="2"/>
  <c r="I27" i="2"/>
  <c r="I24" i="2"/>
  <c r="I12" i="2"/>
  <c r="I46" i="2"/>
  <c r="I47" i="2"/>
  <c r="I41" i="2"/>
  <c r="H42" i="2"/>
  <c r="H58" i="2"/>
  <c r="H18" i="2"/>
  <c r="H49" i="2"/>
  <c r="H43" i="2"/>
  <c r="H19" i="2"/>
  <c r="H57" i="2"/>
  <c r="H20" i="2"/>
  <c r="H44" i="2"/>
  <c r="H21" i="2"/>
  <c r="H56" i="2"/>
  <c r="H22" i="2"/>
  <c r="H45" i="2"/>
  <c r="H23" i="2"/>
  <c r="H55" i="2"/>
  <c r="H51" i="2"/>
  <c r="H24" i="2"/>
  <c r="H46" i="2"/>
  <c r="H16" i="2"/>
  <c r="H54" i="2"/>
  <c r="H25" i="2"/>
  <c r="H15" i="2"/>
  <c r="H13" i="2"/>
  <c r="H27" i="2"/>
  <c r="H12" i="2"/>
  <c r="H28" i="2"/>
  <c r="H11" i="2"/>
  <c r="H10" i="2"/>
  <c r="H47" i="2"/>
  <c r="H29" i="2"/>
  <c r="H26" i="2"/>
  <c r="H8" i="2"/>
  <c r="H30" i="2"/>
  <c r="H7" i="2"/>
  <c r="H31" i="2"/>
  <c r="H6" i="2"/>
  <c r="H53" i="2"/>
  <c r="H32" i="2"/>
  <c r="H4" i="2"/>
  <c r="H33" i="2"/>
  <c r="H3" i="2"/>
  <c r="H50" i="2"/>
  <c r="H34" i="2"/>
  <c r="H14" i="2"/>
  <c r="H35" i="2"/>
  <c r="H9" i="2"/>
  <c r="H48" i="2"/>
  <c r="H36" i="2"/>
  <c r="H37" i="2"/>
  <c r="H5" i="2"/>
  <c r="H38" i="2"/>
  <c r="H52" i="2"/>
  <c r="H39" i="2"/>
  <c r="H2" i="2"/>
  <c r="H40" i="2"/>
  <c r="H61" i="2"/>
  <c r="H60" i="2"/>
  <c r="H41" i="2"/>
  <c r="H17" i="2"/>
  <c r="H59" i="2"/>
  <c r="G16" i="2"/>
  <c r="G15" i="2"/>
  <c r="G27" i="2"/>
  <c r="G34" i="2"/>
  <c r="G31" i="2"/>
  <c r="G24" i="2"/>
  <c r="G10" i="2"/>
  <c r="G46" i="2"/>
  <c r="G12" i="2"/>
  <c r="G48" i="2"/>
  <c r="G35" i="2"/>
  <c r="G51" i="2"/>
  <c r="G55" i="2"/>
  <c r="G11" i="2"/>
  <c r="G23" i="2"/>
  <c r="G30" i="2"/>
  <c r="G13" i="2"/>
  <c r="G36" i="2"/>
  <c r="G5" i="2"/>
  <c r="G25" i="2"/>
  <c r="G45" i="2"/>
  <c r="G8" i="2"/>
  <c r="G22" i="2"/>
  <c r="G56" i="2"/>
  <c r="G37" i="2"/>
  <c r="G9" i="2"/>
  <c r="G21" i="2"/>
  <c r="G6" i="2"/>
  <c r="G32" i="2"/>
  <c r="G44" i="2"/>
  <c r="G20" i="2"/>
  <c r="G38" i="2"/>
  <c r="G28" i="2"/>
  <c r="G57" i="2"/>
  <c r="G3" i="2"/>
  <c r="G19" i="2"/>
  <c r="G43" i="2"/>
  <c r="G14" i="2"/>
  <c r="G39" i="2"/>
  <c r="G29" i="2"/>
  <c r="G58" i="2"/>
  <c r="G4" i="2"/>
  <c r="G2" i="2"/>
  <c r="G18" i="2"/>
  <c r="G52" i="2"/>
  <c r="G40" i="2"/>
  <c r="G26" i="2"/>
  <c r="G17" i="2"/>
  <c r="G53" i="2"/>
  <c r="G61" i="2"/>
  <c r="G42" i="2"/>
  <c r="G33" i="2"/>
  <c r="G60" i="2"/>
  <c r="G49" i="2"/>
  <c r="G50" i="2"/>
  <c r="G41" i="2"/>
  <c r="G7" i="2"/>
  <c r="G54" i="2"/>
  <c r="G47" i="2"/>
  <c r="G59" i="2"/>
  <c r="E3" i="2"/>
  <c r="E51" i="2"/>
  <c r="E17" i="2"/>
  <c r="E52" i="2"/>
  <c r="E53" i="2"/>
  <c r="E54" i="2"/>
  <c r="E18" i="2"/>
  <c r="E55" i="2"/>
  <c r="E56" i="2"/>
  <c r="E57" i="2"/>
  <c r="E19" i="2"/>
  <c r="E58" i="2"/>
  <c r="E60" i="2"/>
  <c r="E61" i="2"/>
  <c r="E20" i="2"/>
  <c r="E2" i="2"/>
  <c r="E7" i="2"/>
  <c r="E13" i="2"/>
  <c r="E21" i="2"/>
  <c r="E14" i="2"/>
  <c r="E15" i="2"/>
  <c r="E4" i="2"/>
  <c r="E22" i="2"/>
  <c r="E5" i="2"/>
  <c r="E6" i="2"/>
  <c r="E8" i="2"/>
  <c r="E23" i="2"/>
  <c r="E9" i="2"/>
  <c r="E10" i="2"/>
  <c r="E11" i="2"/>
  <c r="E24" i="2"/>
  <c r="E12" i="2"/>
  <c r="E16" i="2"/>
  <c r="E25" i="2"/>
  <c r="E59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D42" i="2"/>
  <c r="D17" i="2"/>
  <c r="D8" i="2"/>
  <c r="D7" i="2"/>
  <c r="D18" i="2"/>
  <c r="D31" i="2"/>
  <c r="D41" i="2"/>
  <c r="D19" i="2"/>
  <c r="D51" i="2"/>
  <c r="D32" i="2"/>
  <c r="D20" i="2"/>
  <c r="D60" i="2"/>
  <c r="D53" i="2"/>
  <c r="D21" i="2"/>
  <c r="D4" i="2"/>
  <c r="D33" i="2"/>
  <c r="D22" i="2"/>
  <c r="D3" i="2"/>
  <c r="D34" i="2"/>
  <c r="D23" i="2"/>
  <c r="D14" i="2"/>
  <c r="D61" i="2"/>
  <c r="D24" i="2"/>
  <c r="D52" i="2"/>
  <c r="D35" i="2"/>
  <c r="D10" i="2"/>
  <c r="D47" i="2"/>
  <c r="D40" i="2"/>
  <c r="D36" i="2"/>
  <c r="D2" i="2"/>
  <c r="D9" i="2"/>
  <c r="D55" i="2"/>
  <c r="D50" i="2"/>
  <c r="D46" i="2"/>
  <c r="D49" i="2"/>
  <c r="D6" i="2"/>
  <c r="D39" i="2"/>
  <c r="D5" i="2"/>
  <c r="D56" i="2"/>
  <c r="D38" i="2"/>
  <c r="D45" i="2"/>
  <c r="D25" i="2"/>
  <c r="D54" i="2"/>
  <c r="D16" i="2"/>
  <c r="D15" i="2"/>
  <c r="D57" i="2"/>
  <c r="D37" i="2"/>
  <c r="D44" i="2"/>
  <c r="D26" i="2"/>
  <c r="D27" i="2"/>
  <c r="D13" i="2"/>
  <c r="D12" i="2"/>
  <c r="D58" i="2"/>
  <c r="D28" i="2"/>
  <c r="D43" i="2"/>
  <c r="D11" i="2"/>
  <c r="D29" i="2"/>
  <c r="D30" i="2"/>
  <c r="D48" i="2"/>
  <c r="D59" i="2"/>
  <c r="C30" i="2"/>
  <c r="C18" i="2"/>
  <c r="C38" i="2"/>
  <c r="C19" i="2"/>
  <c r="C8" i="2"/>
  <c r="C20" i="2"/>
  <c r="C37" i="2"/>
  <c r="C21" i="2"/>
  <c r="C10" i="2"/>
  <c r="C22" i="2"/>
  <c r="C36" i="2"/>
  <c r="C23" i="2"/>
  <c r="C11" i="2"/>
  <c r="C24" i="2"/>
  <c r="C49" i="2"/>
  <c r="C25" i="2"/>
  <c r="C35" i="2"/>
  <c r="C47" i="2"/>
  <c r="C14" i="2"/>
  <c r="C16" i="2"/>
  <c r="C17" i="2"/>
  <c r="C46" i="2"/>
  <c r="C3" i="2"/>
  <c r="C34" i="2"/>
  <c r="C56" i="2"/>
  <c r="C50" i="2"/>
  <c r="C45" i="2"/>
  <c r="C4" i="2"/>
  <c r="C53" i="2"/>
  <c r="C57" i="2"/>
  <c r="C33" i="2"/>
  <c r="C44" i="2"/>
  <c r="C5" i="2"/>
  <c r="C32" i="2"/>
  <c r="C58" i="2"/>
  <c r="C6" i="2"/>
  <c r="C43" i="2"/>
  <c r="C7" i="2"/>
  <c r="C31" i="2"/>
  <c r="C59" i="2"/>
  <c r="C55" i="2"/>
  <c r="C42" i="2"/>
  <c r="C9" i="2"/>
  <c r="C48" i="2"/>
  <c r="C60" i="2"/>
  <c r="C52" i="2"/>
  <c r="C41" i="2"/>
  <c r="C29" i="2"/>
  <c r="C12" i="2"/>
  <c r="C54" i="2"/>
  <c r="C61" i="2"/>
  <c r="C28" i="2"/>
  <c r="C13" i="2"/>
  <c r="C2" i="2"/>
  <c r="C51" i="2"/>
  <c r="C40" i="2"/>
  <c r="C27" i="2"/>
  <c r="C15" i="2"/>
  <c r="C26" i="2"/>
  <c r="C39" i="2"/>
  <c r="B18" i="2"/>
  <c r="B19" i="2"/>
  <c r="B20" i="2"/>
  <c r="B21" i="2"/>
  <c r="B22" i="2"/>
  <c r="B23" i="2"/>
  <c r="B24" i="2"/>
  <c r="B25" i="2"/>
  <c r="B51" i="2"/>
  <c r="B47" i="2"/>
  <c r="B55" i="2"/>
  <c r="B46" i="2"/>
  <c r="B56" i="2"/>
  <c r="B45" i="2"/>
  <c r="B57" i="2"/>
  <c r="B50" i="2"/>
  <c r="B44" i="2"/>
  <c r="B58" i="2"/>
  <c r="B52" i="2"/>
  <c r="B43" i="2"/>
  <c r="B59" i="2"/>
  <c r="B42" i="2"/>
  <c r="B60" i="2"/>
  <c r="B41" i="2"/>
  <c r="A14" i="2"/>
  <c r="B61" i="2"/>
  <c r="A12" i="2"/>
  <c r="A10" i="2"/>
  <c r="B40" i="2"/>
  <c r="B2" i="2"/>
  <c r="A3" i="2"/>
  <c r="A43" i="2"/>
  <c r="A44" i="2"/>
  <c r="B37" i="2"/>
  <c r="A35" i="2"/>
  <c r="A34" i="2"/>
  <c r="A45" i="2"/>
  <c r="A33" i="2"/>
  <c r="A46" i="2"/>
  <c r="A47" i="2"/>
  <c r="B36" i="2"/>
  <c r="B12" i="2"/>
  <c r="A32" i="2"/>
  <c r="B13" i="2"/>
  <c r="A48" i="2"/>
  <c r="A49" i="2"/>
  <c r="B14" i="2"/>
  <c r="A50" i="2"/>
  <c r="A31" i="2"/>
  <c r="B49" i="2"/>
  <c r="B35" i="2"/>
  <c r="B15" i="2"/>
  <c r="B53" i="2"/>
  <c r="A30" i="2"/>
  <c r="A51" i="2"/>
  <c r="B17" i="2"/>
  <c r="B3" i="2"/>
  <c r="A52" i="2"/>
  <c r="A29" i="2"/>
  <c r="A53" i="2"/>
  <c r="B34" i="2"/>
  <c r="A28" i="2"/>
  <c r="B4" i="2"/>
  <c r="A54" i="2"/>
  <c r="A27" i="2"/>
  <c r="A55" i="2"/>
  <c r="A56" i="2"/>
  <c r="B33" i="2"/>
  <c r="B5" i="2"/>
  <c r="A57" i="2"/>
  <c r="A26" i="2"/>
  <c r="A25" i="2"/>
  <c r="A58" i="2"/>
  <c r="B6" i="2"/>
  <c r="A59" i="2"/>
  <c r="A24" i="2"/>
  <c r="B32" i="2"/>
  <c r="A23" i="2"/>
  <c r="A60" i="2"/>
  <c r="A22" i="2"/>
  <c r="A61" i="2"/>
  <c r="B31" i="2"/>
  <c r="B8" i="2"/>
  <c r="A21" i="2"/>
  <c r="A20" i="2"/>
  <c r="A19" i="2"/>
  <c r="B9" i="2"/>
  <c r="A2" i="2"/>
  <c r="B39" i="2"/>
  <c r="A8" i="2"/>
  <c r="B30" i="2"/>
  <c r="B10" i="2"/>
  <c r="B48" i="2"/>
  <c r="A18" i="2"/>
  <c r="A39" i="2"/>
  <c r="B11" i="2"/>
  <c r="A17" i="2"/>
  <c r="B54" i="2"/>
  <c r="B29" i="2"/>
  <c r="A16" i="2"/>
  <c r="A38" i="2"/>
  <c r="A15" i="2"/>
  <c r="A42" i="2"/>
  <c r="A37" i="2"/>
  <c r="B28" i="2"/>
  <c r="B38" i="2"/>
  <c r="A13" i="2"/>
  <c r="A11" i="2"/>
  <c r="B7" i="2"/>
  <c r="B27" i="2"/>
  <c r="A9" i="2"/>
  <c r="A36" i="2"/>
  <c r="A7" i="2"/>
  <c r="A41" i="2"/>
  <c r="B26" i="2"/>
  <c r="B16" i="2"/>
  <c r="A6" i="2"/>
  <c r="A5" i="2"/>
  <c r="A4" i="2"/>
  <c r="A40" i="2"/>
  <c r="I65" i="2" l="1"/>
  <c r="I67" i="2" s="1"/>
  <c r="I64" i="2"/>
  <c r="I66" i="2" s="1"/>
  <c r="I3" i="4" s="1"/>
  <c r="I9" i="5"/>
  <c r="H8" i="5"/>
  <c r="H65" i="2"/>
  <c r="H67" i="2" s="1"/>
  <c r="H64" i="2"/>
  <c r="H66" i="2" s="1"/>
  <c r="H3" i="4" s="1"/>
  <c r="G64" i="2"/>
  <c r="G66" i="2" s="1"/>
  <c r="G3" i="4" s="1"/>
  <c r="G65" i="2"/>
  <c r="G67" i="2" s="1"/>
  <c r="G7" i="5"/>
  <c r="E5" i="5"/>
  <c r="E65" i="2"/>
  <c r="E67" i="2" s="1"/>
  <c r="E64" i="2"/>
  <c r="E66" i="2" s="1"/>
  <c r="E3" i="4" s="1"/>
  <c r="D65" i="2"/>
  <c r="D67" i="2" s="1"/>
  <c r="D4" i="5"/>
  <c r="D64" i="2"/>
  <c r="D66" i="2" s="1"/>
  <c r="D3" i="4" s="1"/>
  <c r="C64" i="2"/>
  <c r="C66" i="2" s="1"/>
  <c r="C3" i="4" s="1"/>
  <c r="C3" i="5"/>
  <c r="C65" i="2"/>
  <c r="C67" i="2" s="1"/>
  <c r="B64" i="2"/>
  <c r="B66" i="2" s="1"/>
  <c r="B3" i="4" s="1"/>
  <c r="B65" i="2"/>
  <c r="B67" i="2" s="1"/>
  <c r="B2" i="5"/>
  <c r="C5" i="4" l="1"/>
  <c r="C6" i="4" a="1"/>
  <c r="C7" i="4" s="1"/>
  <c r="C8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8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</futureMetadata>
  <cellMetadata count="1">
    <bk>
      <rc t="1" v="0"/>
    </bk>
  </cellMetadata>
  <valueMetadata count="48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</valueMetadata>
</metadata>
</file>

<file path=xl/sharedStrings.xml><?xml version="1.0" encoding="utf-8"?>
<sst xmlns="http://schemas.openxmlformats.org/spreadsheetml/2006/main" count="83" uniqueCount="27">
  <si>
    <t>EFA</t>
  </si>
  <si>
    <t>EEM</t>
  </si>
  <si>
    <t>AGG</t>
  </si>
  <si>
    <t>TLT</t>
  </si>
  <si>
    <t>VNQ</t>
  </si>
  <si>
    <t>GLD</t>
  </si>
  <si>
    <t>IWM</t>
  </si>
  <si>
    <t>Dates</t>
  </si>
  <si>
    <t>SPY</t>
  </si>
  <si>
    <t>Date</t>
  </si>
  <si>
    <t>Mean Monthly Return</t>
  </si>
  <si>
    <t>Monthly Volatility</t>
  </si>
  <si>
    <t>Annualized Expected Return</t>
  </si>
  <si>
    <t>Annualized Volatility</t>
  </si>
  <si>
    <t>Total Weight</t>
  </si>
  <si>
    <t>Expected Portfolio Return</t>
  </si>
  <si>
    <t>Portfolio Volatility (S-DEV)</t>
  </si>
  <si>
    <t>Portfolio Variance</t>
  </si>
  <si>
    <t>Ticker</t>
  </si>
  <si>
    <t>Optimized (Max Sharp)</t>
  </si>
  <si>
    <t>Baseline (Equal Weight)</t>
  </si>
  <si>
    <t>Efficient Frontier Data</t>
  </si>
  <si>
    <t>Sharpe Ratio (4% Risk Free Rate)</t>
  </si>
  <si>
    <t>Target Return</t>
  </si>
  <si>
    <t>Portfolio Volatility</t>
  </si>
  <si>
    <t>Portfolio Return</t>
  </si>
  <si>
    <t>Heat Map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</si>
</sst>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0" applyNumberFormat="1"/>
    <xf numFmtId="10" fontId="0" fillId="0" borderId="0" xfId="1" applyNumberFormat="1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top"/>
    </xf>
    <xf numFmtId="2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Optimal Portfolio Asset Allocation vs. Baseline (2019-2024)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Portfolio_Model!$D$35</c:f>
              <c:strCache>
                <c:ptCount val="1"/>
                <c:pt idx="0">
                  <c:v>Baseline (Equal Weight)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Portfolio_Model!$C$36:$C$43</c:f>
              <c:strCache>
                <c:ptCount val="8"/>
                <c:pt idx="0">
                  <c:v>SPY</c:v>
                </c:pt>
                <c:pt idx="1">
                  <c:v>EFA</c:v>
                </c:pt>
                <c:pt idx="2">
                  <c:v>EEM</c:v>
                </c:pt>
                <c:pt idx="3">
                  <c:v>AGG</c:v>
                </c:pt>
                <c:pt idx="4">
                  <c:v>TLT</c:v>
                </c:pt>
                <c:pt idx="5">
                  <c:v>VNQ</c:v>
                </c:pt>
                <c:pt idx="6">
                  <c:v>GLD</c:v>
                </c:pt>
                <c:pt idx="7">
                  <c:v>IWM</c:v>
                </c:pt>
              </c:strCache>
            </c:strRef>
          </c:cat>
          <c:val>
            <c:numRef>
              <c:f>Portfolio_Model!$D$36:$D$43</c:f>
              <c:numCache>
                <c:formatCode>0.00%</c:formatCode>
                <c:ptCount val="8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7-4E42-BA0A-9F8D26A66544}"/>
            </c:ext>
          </c:extLst>
        </c:ser>
        <c:ser>
          <c:idx val="1"/>
          <c:order val="1"/>
          <c:tx>
            <c:strRef>
              <c:f>Portfolio_Model!$E$35</c:f>
              <c:strCache>
                <c:ptCount val="1"/>
                <c:pt idx="0">
                  <c:v>Optimized (Max Sharp)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77-4E42-BA0A-9F8D26A665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77-4E42-BA0A-9F8D26A6654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77-4E42-BA0A-9F8D26A6654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77-4E42-BA0A-9F8D26A6654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77-4E42-BA0A-9F8D26A6654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77-4E42-BA0A-9F8D26A665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Portfolio_Model!$C$36:$C$43</c:f>
              <c:strCache>
                <c:ptCount val="8"/>
                <c:pt idx="0">
                  <c:v>SPY</c:v>
                </c:pt>
                <c:pt idx="1">
                  <c:v>EFA</c:v>
                </c:pt>
                <c:pt idx="2">
                  <c:v>EEM</c:v>
                </c:pt>
                <c:pt idx="3">
                  <c:v>AGG</c:v>
                </c:pt>
                <c:pt idx="4">
                  <c:v>TLT</c:v>
                </c:pt>
                <c:pt idx="5">
                  <c:v>VNQ</c:v>
                </c:pt>
                <c:pt idx="6">
                  <c:v>GLD</c:v>
                </c:pt>
                <c:pt idx="7">
                  <c:v>IWM</c:v>
                </c:pt>
              </c:strCache>
            </c:strRef>
          </c:cat>
          <c:val>
            <c:numRef>
              <c:f>Portfolio_Model!$E$36:$E$43</c:f>
              <c:numCache>
                <c:formatCode>0.00%</c:formatCode>
                <c:ptCount val="8"/>
                <c:pt idx="0">
                  <c:v>0.57599999999999996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0.42399999999999999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7-4E42-BA0A-9F8D26A66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3391055"/>
        <c:axId val="388971343"/>
      </c:barChart>
      <c:catAx>
        <c:axId val="102339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71343"/>
        <c:crosses val="autoZero"/>
        <c:auto val="1"/>
        <c:lblAlgn val="ctr"/>
        <c:lblOffset val="100"/>
        <c:noMultiLvlLbl val="0"/>
      </c:catAx>
      <c:valAx>
        <c:axId val="3889713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9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 (2019-2024)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Portfolio_Model!$M$3:$M$9</c:f>
              <c:numCache>
                <c:formatCode>0.00%</c:formatCode>
                <c:ptCount val="7"/>
                <c:pt idx="0">
                  <c:v>9.0999999999999998E-2</c:v>
                </c:pt>
                <c:pt idx="1">
                  <c:v>9.8000000000000004E-2</c:v>
                </c:pt>
                <c:pt idx="2">
                  <c:v>0.1052</c:v>
                </c:pt>
                <c:pt idx="3">
                  <c:v>0.11269999999999999</c:v>
                </c:pt>
                <c:pt idx="4">
                  <c:v>0.12039999999999999</c:v>
                </c:pt>
                <c:pt idx="5">
                  <c:v>0.12970000000000001</c:v>
                </c:pt>
                <c:pt idx="6">
                  <c:v>0.15720000000000001</c:v>
                </c:pt>
              </c:numCache>
            </c:numRef>
          </c:xVal>
          <c:yVal>
            <c:numRef>
              <c:f>Portfolio_Model!$N$3:$N$9</c:f>
              <c:numCache>
                <c:formatCode>0.00%</c:formatCode>
                <c:ptCount val="7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7A-41DB-8EA9-A274FC1E3722}"/>
            </c:ext>
          </c:extLst>
        </c:ser>
        <c:ser>
          <c:idx val="1"/>
          <c:order val="1"/>
          <c:tx>
            <c:v>Max Sharpe Portfolio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rgbClr val="FF0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17A-41DB-8EA9-A274FC1E3722}"/>
              </c:ext>
            </c:extLst>
          </c:dPt>
          <c:xVal>
            <c:numRef>
              <c:f>Portfolio_Model!$C$7</c:f>
              <c:numCache>
                <c:formatCode>0.00%</c:formatCode>
                <c:ptCount val="1"/>
                <c:pt idx="0">
                  <c:v>0.13352535754363382</c:v>
                </c:pt>
              </c:numCache>
            </c:numRef>
          </c:xVal>
          <c:yVal>
            <c:numRef>
              <c:f>Portfolio_Model!$C$5</c:f>
              <c:numCache>
                <c:formatCode>0.00%</c:formatCode>
                <c:ptCount val="1"/>
                <c:pt idx="0">
                  <c:v>0.10198241951073034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7A-41DB-8EA9-A274FC1E3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011375"/>
        <c:axId val="1062010191"/>
      </c:scatterChart>
      <c:valAx>
        <c:axId val="1103011375"/>
        <c:scaling>
          <c:orientation val="minMax"/>
          <c:min val="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Annualized Volatility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10191"/>
        <c:crosses val="autoZero"/>
        <c:crossBetween val="midCat"/>
      </c:valAx>
      <c:valAx>
        <c:axId val="10620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Annualized 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1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15</xdr:row>
      <xdr:rowOff>9525</xdr:rowOff>
    </xdr:from>
    <xdr:to>
      <xdr:col>8</xdr:col>
      <xdr:colOff>352425</xdr:colOff>
      <xdr:row>32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C2FEC5-A11F-5FD4-F0D1-0B6209D42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200024</xdr:colOff>
      <xdr:row>12</xdr:row>
      <xdr:rowOff>104775</xdr:rowOff>
    </xdr:from>
    <xdr:to>
      <xdr:col>16</xdr:col>
      <xdr:colOff>104774</xdr:colOff>
      <xdr:row>31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C876C5-7760-2CF9-9AC5-9787BB7F7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">
  <a r="1" c="61">
    <v t="i">0</v>
    <v t="i">31</v>
    <v t="i">59</v>
    <v t="i">90</v>
    <v t="i">120</v>
    <v t="i">151</v>
    <v t="i">181</v>
    <v t="i">212</v>
    <v t="i">243</v>
    <v t="i">273</v>
    <v t="i">304</v>
    <v t="i">334</v>
    <v t="i">365</v>
    <v t="i">396</v>
    <v t="i">425</v>
    <v t="i">456</v>
    <v t="i">486</v>
    <v t="i">517</v>
    <v t="i">547</v>
    <v t="i">578</v>
    <v t="i">609</v>
    <v t="i">639</v>
    <v t="i">670</v>
    <v t="i">700</v>
    <v t="i">731</v>
    <v t="i">762</v>
    <v t="i">790</v>
    <v t="i">821</v>
    <v t="i">851</v>
    <v t="i">882</v>
    <v t="i">912</v>
    <v t="i">943</v>
    <v t="i">974</v>
    <v t="i">1004</v>
    <v t="i">1035</v>
    <v t="i">1065</v>
    <v t="i">1096</v>
    <v t="i">1127</v>
    <v t="i">1155</v>
    <v t="i">1186</v>
    <v t="i">1216</v>
    <v t="i">1247</v>
    <v t="i">1277</v>
    <v t="i">1308</v>
    <v t="i">1339</v>
    <v t="i">1369</v>
    <v t="i">1400</v>
    <v t="i">1430</v>
    <v t="i">1461</v>
    <v t="i">1492</v>
    <v t="i">1520</v>
    <v t="i">1551</v>
    <v t="i">1581</v>
    <v t="i">1612</v>
    <v t="i">1642</v>
    <v t="i">1673</v>
    <v t="i">1704</v>
    <v t="i">1734</v>
    <v t="i">1765</v>
    <v t="i">1795</v>
    <v t="i">1826</v>
  </a>
  <a r="1" c="61">
    <v>269.93</v>
    <v>278.68</v>
    <v>282.48</v>
    <v>294.02</v>
    <v>275.27</v>
    <v>293</v>
    <v>297.43</v>
    <v>292.45</v>
    <v>296.77</v>
    <v>303.33</v>
    <v>314.31</v>
    <v>321.86</v>
    <v>321.73</v>
    <v>296.26</v>
    <v>257.75</v>
    <v>290.48</v>
    <v>304.32</v>
    <v>308.36</v>
    <v>326.52</v>
    <v>349.31</v>
    <v>334.89</v>
    <v>326.54000000000002</v>
    <v>362.06</v>
    <v>373.88</v>
    <v>370.07</v>
    <v>380.36</v>
    <v>396.33</v>
    <v>417.3</v>
    <v>420.04</v>
    <v>428.06</v>
    <v>438.51</v>
    <v>451.56</v>
    <v>429.14</v>
    <v>459.25</v>
    <v>455.56</v>
    <v>474.96</v>
    <v>449.91</v>
    <v>436.63</v>
    <v>451.64</v>
    <v>412</v>
    <v>412.93</v>
    <v>377.25</v>
    <v>411.99</v>
    <v>395.18</v>
    <v>357.18</v>
    <v>386.21</v>
    <v>407.68</v>
    <v>382.43</v>
    <v>406.48</v>
    <v>396.26</v>
    <v>409.39</v>
    <v>415.93</v>
    <v>417.85</v>
    <v>443.28</v>
    <v>457.79</v>
    <v>450.35</v>
    <v>427.48</v>
    <v>418.2</v>
    <v>456.4</v>
    <v>475.31</v>
    <v>482.88</v>
  </a>
  <a r="1" c="61">
    <v>62.68</v>
    <v>64.27</v>
    <v>64.86</v>
    <v>66.760000000000005</v>
    <v>63.4</v>
    <v>65.73</v>
    <v>64.45</v>
    <v>63.21</v>
    <v>65.209999999999994</v>
    <v>67.42</v>
    <v>68.180000000000007</v>
    <v>69.44</v>
    <v>67.48</v>
    <v>62.24</v>
    <v>53.46</v>
    <v>56.57</v>
    <v>59.64</v>
    <v>60.87</v>
    <v>62.05</v>
    <v>64.98</v>
    <v>63.65</v>
    <v>61.39</v>
    <v>70.150000000000006</v>
    <v>72.959999999999994</v>
    <v>72.39</v>
    <v>74.010000000000005</v>
    <v>75.87</v>
    <v>78.11</v>
    <v>80.83</v>
    <v>78.88</v>
    <v>79.489999999999995</v>
    <v>80.64</v>
    <v>78.010000000000005</v>
    <v>80.489999999999995</v>
    <v>76.84</v>
    <v>78.680000000000007</v>
    <v>75.819999999999993</v>
    <v>73.22</v>
    <v>73.599999999999994</v>
    <v>68.64</v>
    <v>70.010000000000005</v>
    <v>62.49</v>
    <v>65.72</v>
    <v>61.7</v>
    <v>56.01</v>
    <v>59.31</v>
    <v>67.12</v>
    <v>65.64</v>
    <v>71.55</v>
    <v>69.349999999999994</v>
    <v>71.52</v>
    <v>73.62</v>
    <v>70.67</v>
    <v>72.5</v>
    <v>74.459999999999994</v>
    <v>71.53</v>
    <v>68.92</v>
    <v>66.92</v>
    <v>72.42</v>
    <v>75.349999999999994</v>
    <v>75.010000000000005</v>
  </a>
  <a r="1" c="61">
    <v>43.1</v>
    <v>42.44</v>
    <v>42.92</v>
    <v>43.93</v>
    <v>40.71</v>
    <v>42.91</v>
    <v>41.77</v>
    <v>40.19</v>
    <v>40.869999999999997</v>
    <v>42.58</v>
    <v>42.54</v>
    <v>44.87</v>
    <v>42.11</v>
    <v>40.520000000000003</v>
    <v>34.130000000000003</v>
    <v>36.64</v>
    <v>37.729999999999997</v>
    <v>39.99</v>
    <v>43.29</v>
    <v>44.54</v>
    <v>44.09</v>
    <v>44.71</v>
    <v>48.73</v>
    <v>51.67</v>
    <v>53.31</v>
    <v>53.73</v>
    <v>53.34</v>
    <v>53.98</v>
    <v>54.87</v>
    <v>55.15</v>
    <v>51.6</v>
    <v>52.41</v>
    <v>50.38</v>
    <v>50.92</v>
    <v>48.84</v>
    <v>48.85</v>
    <v>48.84</v>
    <v>46.73</v>
    <v>45.15</v>
    <v>42.38</v>
    <v>42.64</v>
    <v>40.1</v>
    <v>39.96</v>
    <v>39.43</v>
    <v>34.880000000000003</v>
    <v>34.19</v>
    <v>39.520000000000003</v>
    <v>37.9</v>
    <v>41.36</v>
    <v>38.229999999999997</v>
    <v>39.46</v>
    <v>39.130000000000003</v>
    <v>38.19</v>
    <v>39.56</v>
    <v>41.95</v>
    <v>39.17</v>
    <v>37.950000000000003</v>
    <v>36.700000000000003</v>
    <v>39.56</v>
    <v>40.21</v>
    <v>38.39</v>
  </a>
  <a r="1" c="61">
    <v>149.06</v>
    <v>156.78</v>
    <v>153.09</v>
    <v>158.29</v>
    <v>145.86000000000001</v>
    <v>155.5</v>
    <v>156.56</v>
    <v>148.84</v>
    <v>151.34</v>
    <v>155.44999999999999</v>
    <v>161.77000000000001</v>
    <v>165.67</v>
    <v>160.53</v>
    <v>146.33000000000001</v>
    <v>114.46</v>
    <v>130.31</v>
    <v>138.9</v>
    <v>143.18</v>
    <v>147.36000000000001</v>
    <v>155.43</v>
    <v>149.79</v>
    <v>153.09</v>
    <v>181.02</v>
    <v>196.06</v>
    <v>205.56</v>
    <v>218.31</v>
    <v>220.94</v>
    <v>224.89</v>
    <v>225.5</v>
    <v>229.37</v>
    <v>221.05</v>
    <v>225.92</v>
    <v>218.75</v>
    <v>228.05</v>
    <v>218.17</v>
    <v>222.45</v>
    <v>201.24</v>
    <v>203.32</v>
    <v>205.27</v>
    <v>184.95</v>
    <v>185.31</v>
    <v>169.36</v>
    <v>187.25</v>
    <v>183.5</v>
    <v>164.92</v>
    <v>183.33</v>
    <v>187.37</v>
    <v>174.36</v>
    <v>191.48</v>
    <v>188.18</v>
    <v>178.4</v>
    <v>175.2</v>
    <v>173.77</v>
    <v>187.27</v>
    <v>198.71</v>
    <v>188.61</v>
    <v>176.74</v>
    <v>164.52</v>
    <v>179.66</v>
    <v>200.71</v>
    <v>192.88</v>
  </a>
  <a r="1" c="61">
    <v>107.46</v>
    <v>107.07</v>
    <v>109.07</v>
    <v>108.59</v>
    <v>110.4</v>
    <v>111.35</v>
    <v>111.3</v>
    <v>114.13</v>
    <v>113.17</v>
    <v>113.15</v>
    <v>112.86</v>
    <v>112.37</v>
    <v>114.65</v>
    <v>116.22</v>
    <v>115.37</v>
    <v>117.1</v>
    <v>117.65</v>
    <v>118.21</v>
    <v>119.56</v>
    <v>118.37</v>
    <v>118.06</v>
    <v>117.2</v>
    <v>118.42</v>
    <v>118.19</v>
    <v>117.31</v>
    <v>115.34</v>
    <v>113.83</v>
    <v>114.49</v>
    <v>114.55</v>
    <v>115.33</v>
    <v>116.46</v>
    <v>116.06</v>
    <v>114.83</v>
    <v>114.64</v>
    <v>114.77</v>
    <v>114.08</v>
    <v>111.8</v>
    <v>110.36</v>
    <v>107.1</v>
    <v>102.87</v>
    <v>103.47</v>
    <v>101.68</v>
    <v>104.07</v>
    <v>100.71</v>
    <v>96.34</v>
    <v>94.9</v>
    <v>98.29</v>
    <v>96.99</v>
    <v>100.22</v>
    <v>97.31</v>
    <v>99.64</v>
    <v>99.96</v>
    <v>98.57</v>
    <v>97.95</v>
    <v>97.68</v>
    <v>96.8</v>
    <v>94.04</v>
    <v>92.31</v>
    <v>96.26</v>
    <v>99.25</v>
    <v>99.1</v>
  </a>
  <a r="1" c="61">
    <v>83.41</v>
    <v>83.99</v>
    <v>86.91</v>
    <v>86.77</v>
    <v>86.89</v>
    <v>87.4</v>
    <v>88.89</v>
    <v>92.22</v>
    <v>93.25</v>
    <v>94.3</v>
    <v>93.07</v>
    <v>92.79</v>
    <v>93.93</v>
    <v>87.33</v>
    <v>69.849999999999994</v>
    <v>76.11</v>
    <v>77.430000000000007</v>
    <v>78.53</v>
    <v>81.39</v>
    <v>81.75</v>
    <v>78.959999999999994</v>
    <v>76.59</v>
    <v>84</v>
    <v>84.93</v>
    <v>84.96</v>
    <v>87.87</v>
    <v>91.86</v>
    <v>99.08</v>
    <v>99.88</v>
    <v>101.79</v>
    <v>106.29</v>
    <v>108.58</v>
    <v>101.78</v>
    <v>109.04</v>
    <v>106.74</v>
    <v>116.01</v>
    <v>106.24</v>
    <v>102.54</v>
    <v>108.37</v>
    <v>103.94</v>
    <v>99.07</v>
    <v>91.11</v>
    <v>98.96</v>
    <v>93.01</v>
    <v>80.17</v>
    <v>82.98</v>
    <v>88.08</v>
    <v>82.48</v>
    <v>91.06</v>
    <v>85.72</v>
    <v>83.04</v>
    <v>83.3</v>
    <v>80</v>
    <v>83.56</v>
    <v>85.26</v>
    <v>82.38</v>
    <v>75.66</v>
    <v>72.92</v>
    <v>81.73</v>
    <v>88.36</v>
    <v>83.89</v>
  </a>
  <a r="1" c="61">
    <v>124.75</v>
    <v>123.99</v>
    <v>122.01</v>
    <v>121.2</v>
    <v>123.33</v>
    <v>133.19999999999999</v>
    <v>133.21</v>
    <v>143.75</v>
    <v>138.87</v>
    <v>142.43</v>
    <v>137.86000000000001</v>
    <v>142.9</v>
    <v>149.33000000000001</v>
    <v>148.38</v>
    <v>148.05000000000001</v>
    <v>158.80000000000001</v>
    <v>162.91</v>
    <v>167.37</v>
    <v>185.43</v>
    <v>184.83</v>
    <v>177.12</v>
    <v>176.2</v>
    <v>166.67</v>
    <v>178.36</v>
    <v>172.61</v>
    <v>161.81</v>
    <v>159.96</v>
    <v>165.66</v>
    <v>178.38</v>
    <v>165.63</v>
    <v>169.82</v>
    <v>169.69</v>
    <v>164.22</v>
    <v>166.65</v>
    <v>165.5</v>
    <v>170.96</v>
    <v>168.09</v>
    <v>178.38</v>
    <v>180.65</v>
    <v>176.91</v>
    <v>171.14</v>
    <v>168.46</v>
    <v>164.1</v>
    <v>159.27000000000001</v>
    <v>154.66999999999999</v>
    <v>151.91</v>
    <v>164.81</v>
    <v>169.64</v>
    <v>179.41</v>
    <v>169.78</v>
    <v>183.22</v>
    <v>184.8</v>
    <v>182.32</v>
    <v>178.27</v>
    <v>182.35</v>
    <v>180.02</v>
    <v>171.45</v>
    <v>184.09</v>
    <v>188.75</v>
    <v>191.17</v>
    <v>188.45</v>
  </a>
</arrayData>
</file>

<file path=xl/richData/rdrichvalue.xml><?xml version="1.0" encoding="utf-8"?>
<rvData xmlns="http://schemas.microsoft.com/office/spreadsheetml/2017/richdata" count="491">
  <rv s="0">
    <fb>43497</fb>
    <v>0</v>
  </rv>
  <rv s="0">
    <fb>43525</fb>
    <v>0</v>
  </rv>
  <rv s="0">
    <fb>43556</fb>
    <v>0</v>
  </rv>
  <rv s="0">
    <fb>43586</fb>
    <v>0</v>
  </rv>
  <rv s="0">
    <fb>43617</fb>
    <v>0</v>
  </rv>
  <rv s="0">
    <fb>43647</fb>
    <v>0</v>
  </rv>
  <rv s="0">
    <fb>43678</fb>
    <v>0</v>
  </rv>
  <rv s="0">
    <fb>43709</fb>
    <v>0</v>
  </rv>
  <rv s="0">
    <fb>43739</fb>
    <v>0</v>
  </rv>
  <rv s="0">
    <fb>43770</fb>
    <v>0</v>
  </rv>
  <rv s="0">
    <fb>43800</fb>
    <v>0</v>
  </rv>
  <rv s="0">
    <fb>43831</fb>
    <v>0</v>
  </rv>
  <rv s="0">
    <fb>43862</fb>
    <v>0</v>
  </rv>
  <rv s="0">
    <fb>43891</fb>
    <v>0</v>
  </rv>
  <rv s="0">
    <fb>43922</fb>
    <v>0</v>
  </rv>
  <rv s="0">
    <fb>43952</fb>
    <v>0</v>
  </rv>
  <rv s="0">
    <fb>43983</fb>
    <v>0</v>
  </rv>
  <rv s="0">
    <fb>44013</fb>
    <v>0</v>
  </rv>
  <rv s="0">
    <fb>44044</fb>
    <v>0</v>
  </rv>
  <rv s="0">
    <fb>44075</fb>
    <v>0</v>
  </rv>
  <rv s="0">
    <fb>44105</fb>
    <v>0</v>
  </rv>
  <rv s="0">
    <fb>44136</fb>
    <v>0</v>
  </rv>
  <rv s="0">
    <fb>44166</fb>
    <v>0</v>
  </rv>
  <rv s="0">
    <fb>44197</fb>
    <v>0</v>
  </rv>
  <rv s="0">
    <fb>44228</fb>
    <v>0</v>
  </rv>
  <rv s="0">
    <fb>44256</fb>
    <v>0</v>
  </rv>
  <rv s="0">
    <fb>44287</fb>
    <v>0</v>
  </rv>
  <rv s="0">
    <fb>44317</fb>
    <v>0</v>
  </rv>
  <rv s="0">
    <fb>44348</fb>
    <v>0</v>
  </rv>
  <rv s="0">
    <fb>44378</fb>
    <v>0</v>
  </rv>
  <rv s="0">
    <fb>44409</fb>
    <v>0</v>
  </rv>
  <rv s="0">
    <fb>44440</fb>
    <v>0</v>
  </rv>
  <rv s="0">
    <fb>44470</fb>
    <v>0</v>
  </rv>
  <rv s="0">
    <fb>44501</fb>
    <v>0</v>
  </rv>
  <rv s="0">
    <fb>44531</fb>
    <v>0</v>
  </rv>
  <rv s="0">
    <fb>44562</fb>
    <v>0</v>
  </rv>
  <rv s="0">
    <fb>44593</fb>
    <v>0</v>
  </rv>
  <rv s="0">
    <fb>44621</fb>
    <v>0</v>
  </rv>
  <rv s="0">
    <fb>44652</fb>
    <v>0</v>
  </rv>
  <rv s="0">
    <fb>44682</fb>
    <v>0</v>
  </rv>
  <rv s="0">
    <fb>44713</fb>
    <v>0</v>
  </rv>
  <rv s="0">
    <fb>44743</fb>
    <v>0</v>
  </rv>
  <rv s="0">
    <fb>44774</fb>
    <v>0</v>
  </rv>
  <rv s="0">
    <fb>44805</fb>
    <v>0</v>
  </rv>
  <rv s="0">
    <fb>44835</fb>
    <v>0</v>
  </rv>
  <rv s="0">
    <fb>44866</fb>
    <v>0</v>
  </rv>
  <rv s="0">
    <fb>44896</fb>
    <v>0</v>
  </rv>
  <rv s="0">
    <fb>44927</fb>
    <v>0</v>
  </rv>
  <rv s="0">
    <fb>44958</fb>
    <v>0</v>
  </rv>
  <rv s="0">
    <fb>44986</fb>
    <v>0</v>
  </rv>
  <rv s="0">
    <fb>45017</fb>
    <v>0</v>
  </rv>
  <rv s="0">
    <fb>45047</fb>
    <v>0</v>
  </rv>
  <rv s="0">
    <fb>45078</fb>
    <v>0</v>
  </rv>
  <rv s="0">
    <fb>45108</fb>
    <v>0</v>
  </rv>
  <rv s="0">
    <fb>45139</fb>
    <v>0</v>
  </rv>
  <rv s="0">
    <fb>45170</fb>
    <v>0</v>
  </rv>
  <rv s="0">
    <fb>45200</fb>
    <v>0</v>
  </rv>
  <rv s="0">
    <fb>45231</fb>
    <v>0</v>
  </rv>
  <rv s="0">
    <fb>45261</fb>
    <v>0</v>
  </rv>
  <rv s="0">
    <fb>45292</fb>
    <v>0</v>
  </rv>
  <rv s="0">
    <fb>43466</fb>
    <v>0</v>
  </rv>
  <rv s="0">
    <fb>269.93</fb>
    <v>1</v>
  </rv>
  <rv s="0">
    <fb>62.68</fb>
    <v>1</v>
  </rv>
  <rv s="0">
    <fb>43.1</fb>
    <v>1</v>
  </rv>
  <rv s="0">
    <fb>107.46</fb>
    <v>1</v>
  </rv>
  <rv s="0">
    <fb>83.41</fb>
    <v>1</v>
  </rv>
  <rv s="0">
    <fb>124.75</fb>
    <v>1</v>
  </rv>
  <rv s="0">
    <fb>149.06</fb>
    <v>1</v>
  </rv>
  <rv s="0">
    <fb>278.68</fb>
    <v>1</v>
  </rv>
  <rv s="0">
    <fb>64.27</fb>
    <v>1</v>
  </rv>
  <rv s="0">
    <fb>42.44</fb>
    <v>1</v>
  </rv>
  <rv s="0">
    <fb>107.07</fb>
    <v>1</v>
  </rv>
  <rv s="0">
    <fb>83.99</fb>
    <v>1</v>
  </rv>
  <rv s="0">
    <fb>123.99</fb>
    <v>1</v>
  </rv>
  <rv s="0">
    <fb>156.78</fb>
    <v>1</v>
  </rv>
  <rv s="0">
    <fb>282.48</fb>
    <v>1</v>
  </rv>
  <rv s="0">
    <fb>64.86</fb>
    <v>1</v>
  </rv>
  <rv s="0">
    <fb>42.92</fb>
    <v>1</v>
  </rv>
  <rv s="0">
    <fb>109.07</fb>
    <v>1</v>
  </rv>
  <rv s="0">
    <fb>86.91</fb>
    <v>1</v>
  </rv>
  <rv s="0">
    <fb>122.01</fb>
    <v>1</v>
  </rv>
  <rv s="0">
    <fb>153.09</fb>
    <v>1</v>
  </rv>
  <rv s="0">
    <fb>294.02</fb>
    <v>1</v>
  </rv>
  <rv s="0">
    <fb>66.760000000000005</fb>
    <v>1</v>
  </rv>
  <rv s="0">
    <fb>43.93</fb>
    <v>1</v>
  </rv>
  <rv s="0">
    <fb>108.59</fb>
    <v>1</v>
  </rv>
  <rv s="0">
    <fb>86.77</fb>
    <v>1</v>
  </rv>
  <rv s="0">
    <fb>121.2</fb>
    <v>1</v>
  </rv>
  <rv s="0">
    <fb>158.29</fb>
    <v>1</v>
  </rv>
  <rv s="0">
    <fb>275.27</fb>
    <v>1</v>
  </rv>
  <rv s="0">
    <fb>63.4</fb>
    <v>1</v>
  </rv>
  <rv s="0">
    <fb>40.71</fb>
    <v>1</v>
  </rv>
  <rv s="0">
    <fb>110.4</fb>
    <v>1</v>
  </rv>
  <rv s="0">
    <fb>86.89</fb>
    <v>1</v>
  </rv>
  <rv s="0">
    <fb>123.33</fb>
    <v>1</v>
  </rv>
  <rv s="0">
    <fb>145.86000000000001</fb>
    <v>1</v>
  </rv>
  <rv s="0">
    <fb>293</fb>
    <v>1</v>
  </rv>
  <rv s="0">
    <fb>65.73</fb>
    <v>1</v>
  </rv>
  <rv s="0">
    <fb>42.91</fb>
    <v>1</v>
  </rv>
  <rv s="0">
    <fb>111.35</fb>
    <v>1</v>
  </rv>
  <rv s="0">
    <fb>87.4</fb>
    <v>1</v>
  </rv>
  <rv s="0">
    <fb>133.19999999999999</fb>
    <v>1</v>
  </rv>
  <rv s="0">
    <fb>155.5</fb>
    <v>1</v>
  </rv>
  <rv s="0">
    <fb>297.43</fb>
    <v>1</v>
  </rv>
  <rv s="0">
    <fb>64.45</fb>
    <v>1</v>
  </rv>
  <rv s="0">
    <fb>41.77</fb>
    <v>1</v>
  </rv>
  <rv s="0">
    <fb>111.3</fb>
    <v>1</v>
  </rv>
  <rv s="0">
    <fb>88.89</fb>
    <v>1</v>
  </rv>
  <rv s="0">
    <fb>133.21</fb>
    <v>1</v>
  </rv>
  <rv s="0">
    <fb>156.56</fb>
    <v>1</v>
  </rv>
  <rv s="0">
    <fb>292.45</fb>
    <v>1</v>
  </rv>
  <rv s="0">
    <fb>63.21</fb>
    <v>1</v>
  </rv>
  <rv s="0">
    <fb>40.19</fb>
    <v>1</v>
  </rv>
  <rv s="0">
    <fb>114.13</fb>
    <v>1</v>
  </rv>
  <rv s="0">
    <fb>92.22</fb>
    <v>1</v>
  </rv>
  <rv s="0">
    <fb>143.75</fb>
    <v>1</v>
  </rv>
  <rv s="0">
    <fb>148.84</fb>
    <v>1</v>
  </rv>
  <rv s="0">
    <fb>296.77</fb>
    <v>1</v>
  </rv>
  <rv s="0">
    <fb>65.209999999999994</fb>
    <v>1</v>
  </rv>
  <rv s="0">
    <fb>40.869999999999997</fb>
    <v>1</v>
  </rv>
  <rv s="0">
    <fb>113.17</fb>
    <v>1</v>
  </rv>
  <rv s="0">
    <fb>93.25</fb>
    <v>1</v>
  </rv>
  <rv s="0">
    <fb>138.87</fb>
    <v>1</v>
  </rv>
  <rv s="0">
    <fb>151.34</fb>
    <v>1</v>
  </rv>
  <rv s="0">
    <fb>303.33</fb>
    <v>1</v>
  </rv>
  <rv s="0">
    <fb>67.42</fb>
    <v>1</v>
  </rv>
  <rv s="0">
    <fb>42.58</fb>
    <v>1</v>
  </rv>
  <rv s="0">
    <fb>113.15</fb>
    <v>1</v>
  </rv>
  <rv s="0">
    <fb>94.3</fb>
    <v>1</v>
  </rv>
  <rv s="0">
    <fb>142.43</fb>
    <v>1</v>
  </rv>
  <rv s="0">
    <fb>155.44999999999999</fb>
    <v>1</v>
  </rv>
  <rv s="0">
    <fb>314.31</fb>
    <v>1</v>
  </rv>
  <rv s="0">
    <fb>68.180000000000007</fb>
    <v>1</v>
  </rv>
  <rv s="0">
    <fb>42.54</fb>
    <v>1</v>
  </rv>
  <rv s="0">
    <fb>112.86</fb>
    <v>1</v>
  </rv>
  <rv s="0">
    <fb>93.07</fb>
    <v>1</v>
  </rv>
  <rv s="0">
    <fb>137.86000000000001</fb>
    <v>1</v>
  </rv>
  <rv s="0">
    <fb>161.77000000000001</fb>
    <v>1</v>
  </rv>
  <rv s="0">
    <fb>321.86</fb>
    <v>1</v>
  </rv>
  <rv s="0">
    <fb>69.44</fb>
    <v>1</v>
  </rv>
  <rv s="0">
    <fb>44.87</fb>
    <v>1</v>
  </rv>
  <rv s="0">
    <fb>112.37</fb>
    <v>1</v>
  </rv>
  <rv s="0">
    <fb>92.79</fb>
    <v>1</v>
  </rv>
  <rv s="0">
    <fb>142.9</fb>
    <v>1</v>
  </rv>
  <rv s="0">
    <fb>165.67</fb>
    <v>1</v>
  </rv>
  <rv s="0">
    <fb>321.73</fb>
    <v>1</v>
  </rv>
  <rv s="0">
    <fb>67.48</fb>
    <v>1</v>
  </rv>
  <rv s="0">
    <fb>42.11</fb>
    <v>1</v>
  </rv>
  <rv s="0">
    <fb>114.65</fb>
    <v>1</v>
  </rv>
  <rv s="0">
    <fb>93.93</fb>
    <v>1</v>
  </rv>
  <rv s="0">
    <fb>149.33000000000001</fb>
    <v>1</v>
  </rv>
  <rv s="0">
    <fb>160.53</fb>
    <v>1</v>
  </rv>
  <rv s="0">
    <fb>296.26</fb>
    <v>1</v>
  </rv>
  <rv s="0">
    <fb>62.24</fb>
    <v>1</v>
  </rv>
  <rv s="0">
    <fb>40.520000000000003</fb>
    <v>1</v>
  </rv>
  <rv s="0">
    <fb>116.22</fb>
    <v>1</v>
  </rv>
  <rv s="0">
    <fb>87.33</fb>
    <v>1</v>
  </rv>
  <rv s="0">
    <fb>148.38</fb>
    <v>1</v>
  </rv>
  <rv s="0">
    <fb>146.33000000000001</fb>
    <v>1</v>
  </rv>
  <rv s="0">
    <fb>257.75</fb>
    <v>1</v>
  </rv>
  <rv s="0">
    <fb>53.46</fb>
    <v>1</v>
  </rv>
  <rv s="0">
    <fb>34.130000000000003</fb>
    <v>1</v>
  </rv>
  <rv s="0">
    <fb>115.37</fb>
    <v>1</v>
  </rv>
  <rv s="0">
    <fb>69.849999999999994</fb>
    <v>1</v>
  </rv>
  <rv s="0">
    <fb>148.05000000000001</fb>
    <v>1</v>
  </rv>
  <rv s="0">
    <fb>114.46</fb>
    <v>1</v>
  </rv>
  <rv s="0">
    <fb>290.48</fb>
    <v>1</v>
  </rv>
  <rv s="0">
    <fb>56.57</fb>
    <v>1</v>
  </rv>
  <rv s="0">
    <fb>36.64</fb>
    <v>1</v>
  </rv>
  <rv s="0">
    <fb>117.1</fb>
    <v>1</v>
  </rv>
  <rv s="0">
    <fb>76.11</fb>
    <v>1</v>
  </rv>
  <rv s="0">
    <fb>158.80000000000001</fb>
    <v>1</v>
  </rv>
  <rv s="0">
    <fb>130.31</fb>
    <v>1</v>
  </rv>
  <rv s="0">
    <fb>304.32</fb>
    <v>1</v>
  </rv>
  <rv s="0">
    <fb>59.64</fb>
    <v>1</v>
  </rv>
  <rv s="0">
    <fb>37.729999999999997</fb>
    <v>1</v>
  </rv>
  <rv s="0">
    <fb>117.65</fb>
    <v>1</v>
  </rv>
  <rv s="0">
    <fb>77.430000000000007</fb>
    <v>1</v>
  </rv>
  <rv s="0">
    <fb>162.91</fb>
    <v>1</v>
  </rv>
  <rv s="0">
    <fb>138.9</fb>
    <v>1</v>
  </rv>
  <rv s="0">
    <fb>308.36</fb>
    <v>1</v>
  </rv>
  <rv s="0">
    <fb>60.87</fb>
    <v>1</v>
  </rv>
  <rv s="0">
    <fb>39.99</fb>
    <v>1</v>
  </rv>
  <rv s="0">
    <fb>118.21</fb>
    <v>1</v>
  </rv>
  <rv s="0">
    <fb>78.53</fb>
    <v>1</v>
  </rv>
  <rv s="0">
    <fb>167.37</fb>
    <v>1</v>
  </rv>
  <rv s="0">
    <fb>143.18</fb>
    <v>1</v>
  </rv>
  <rv s="0">
    <fb>326.52</fb>
    <v>1</v>
  </rv>
  <rv s="0">
    <fb>62.05</fb>
    <v>1</v>
  </rv>
  <rv s="0">
    <fb>43.29</fb>
    <v>1</v>
  </rv>
  <rv s="0">
    <fb>119.56</fb>
    <v>1</v>
  </rv>
  <rv s="0">
    <fb>81.39</fb>
    <v>1</v>
  </rv>
  <rv s="0">
    <fb>185.43</fb>
    <v>1</v>
  </rv>
  <rv s="0">
    <fb>147.36000000000001</fb>
    <v>1</v>
  </rv>
  <rv s="0">
    <fb>349.31</fb>
    <v>1</v>
  </rv>
  <rv s="0">
    <fb>64.98</fb>
    <v>1</v>
  </rv>
  <rv s="0">
    <fb>44.54</fb>
    <v>1</v>
  </rv>
  <rv s="0">
    <fb>118.37</fb>
    <v>1</v>
  </rv>
  <rv s="0">
    <fb>81.75</fb>
    <v>1</v>
  </rv>
  <rv s="0">
    <fb>184.83</fb>
    <v>1</v>
  </rv>
  <rv s="0">
    <fb>155.43</fb>
    <v>1</v>
  </rv>
  <rv s="0">
    <fb>334.89</fb>
    <v>1</v>
  </rv>
  <rv s="0">
    <fb>63.65</fb>
    <v>1</v>
  </rv>
  <rv s="0">
    <fb>44.09</fb>
    <v>1</v>
  </rv>
  <rv s="0">
    <fb>118.06</fb>
    <v>1</v>
  </rv>
  <rv s="0">
    <fb>78.959999999999994</fb>
    <v>1</v>
  </rv>
  <rv s="0">
    <fb>177.12</fb>
    <v>1</v>
  </rv>
  <rv s="0">
    <fb>149.79</fb>
    <v>1</v>
  </rv>
  <rv s="0">
    <fb>326.54000000000002</fb>
    <v>1</v>
  </rv>
  <rv s="0">
    <fb>61.39</fb>
    <v>1</v>
  </rv>
  <rv s="0">
    <fb>44.71</fb>
    <v>1</v>
  </rv>
  <rv s="0">
    <fb>117.2</fb>
    <v>1</v>
  </rv>
  <rv s="0">
    <fb>76.59</fb>
    <v>1</v>
  </rv>
  <rv s="0">
    <fb>176.2</fb>
    <v>1</v>
  </rv>
  <rv s="0">
    <fb>362.06</fb>
    <v>1</v>
  </rv>
  <rv s="0">
    <fb>70.150000000000006</fb>
    <v>1</v>
  </rv>
  <rv s="0">
    <fb>48.73</fb>
    <v>1</v>
  </rv>
  <rv s="0">
    <fb>118.42</fb>
    <v>1</v>
  </rv>
  <rv s="0">
    <fb>84</fb>
    <v>1</v>
  </rv>
  <rv s="0">
    <fb>166.67</fb>
    <v>1</v>
  </rv>
  <rv s="0">
    <fb>181.02</fb>
    <v>1</v>
  </rv>
  <rv s="0">
    <fb>373.88</fb>
    <v>1</v>
  </rv>
  <rv s="0">
    <fb>72.959999999999994</fb>
    <v>1</v>
  </rv>
  <rv s="0">
    <fb>51.67</fb>
    <v>1</v>
  </rv>
  <rv s="0">
    <fb>118.19</fb>
    <v>1</v>
  </rv>
  <rv s="0">
    <fb>84.93</fb>
    <v>1</v>
  </rv>
  <rv s="0">
    <fb>178.36</fb>
    <v>1</v>
  </rv>
  <rv s="0">
    <fb>196.06</fb>
    <v>1</v>
  </rv>
  <rv s="0">
    <fb>370.07</fb>
    <v>1</v>
  </rv>
  <rv s="0">
    <fb>72.39</fb>
    <v>1</v>
  </rv>
  <rv s="0">
    <fb>53.31</fb>
    <v>1</v>
  </rv>
  <rv s="0">
    <fb>117.31</fb>
    <v>1</v>
  </rv>
  <rv s="0">
    <fb>84.96</fb>
    <v>1</v>
  </rv>
  <rv s="0">
    <fb>172.61</fb>
    <v>1</v>
  </rv>
  <rv s="0">
    <fb>205.56</fb>
    <v>1</v>
  </rv>
  <rv s="0">
    <fb>380.36</fb>
    <v>1</v>
  </rv>
  <rv s="0">
    <fb>74.010000000000005</fb>
    <v>1</v>
  </rv>
  <rv s="0">
    <fb>53.73</fb>
    <v>1</v>
  </rv>
  <rv s="0">
    <fb>115.34</fb>
    <v>1</v>
  </rv>
  <rv s="0">
    <fb>87.87</fb>
    <v>1</v>
  </rv>
  <rv s="0">
    <fb>161.81</fb>
    <v>1</v>
  </rv>
  <rv s="0">
    <fb>218.31</fb>
    <v>1</v>
  </rv>
  <rv s="0">
    <fb>396.33</fb>
    <v>1</v>
  </rv>
  <rv s="0">
    <fb>75.87</fb>
    <v>1</v>
  </rv>
  <rv s="0">
    <fb>53.34</fb>
    <v>1</v>
  </rv>
  <rv s="0">
    <fb>113.83</fb>
    <v>1</v>
  </rv>
  <rv s="0">
    <fb>91.86</fb>
    <v>1</v>
  </rv>
  <rv s="0">
    <fb>159.96</fb>
    <v>1</v>
  </rv>
  <rv s="0">
    <fb>220.94</fb>
    <v>1</v>
  </rv>
  <rv s="0">
    <fb>417.3</fb>
    <v>1</v>
  </rv>
  <rv s="0">
    <fb>78.11</fb>
    <v>1</v>
  </rv>
  <rv s="0">
    <fb>53.98</fb>
    <v>1</v>
  </rv>
  <rv s="0">
    <fb>114.49</fb>
    <v>1</v>
  </rv>
  <rv s="0">
    <fb>99.08</fb>
    <v>1</v>
  </rv>
  <rv s="0">
    <fb>165.66</fb>
    <v>1</v>
  </rv>
  <rv s="0">
    <fb>224.89</fb>
    <v>1</v>
  </rv>
  <rv s="0">
    <fb>420.04</fb>
    <v>1</v>
  </rv>
  <rv s="0">
    <fb>80.83</fb>
    <v>1</v>
  </rv>
  <rv s="0">
    <fb>54.87</fb>
    <v>1</v>
  </rv>
  <rv s="0">
    <fb>114.55</fb>
    <v>1</v>
  </rv>
  <rv s="0">
    <fb>99.88</fb>
    <v>1</v>
  </rv>
  <rv s="0">
    <fb>178.38</fb>
    <v>1</v>
  </rv>
  <rv s="0">
    <fb>225.5</fb>
    <v>1</v>
  </rv>
  <rv s="0">
    <fb>428.06</fb>
    <v>1</v>
  </rv>
  <rv s="0">
    <fb>78.88</fb>
    <v>1</v>
  </rv>
  <rv s="0">
    <fb>55.15</fb>
    <v>1</v>
  </rv>
  <rv s="0">
    <fb>115.33</fb>
    <v>1</v>
  </rv>
  <rv s="0">
    <fb>101.79</fb>
    <v>1</v>
  </rv>
  <rv s="0">
    <fb>165.63</fb>
    <v>1</v>
  </rv>
  <rv s="0">
    <fb>229.37</fb>
    <v>1</v>
  </rv>
  <rv s="0">
    <fb>438.51</fb>
    <v>1</v>
  </rv>
  <rv s="0">
    <fb>79.489999999999995</fb>
    <v>1</v>
  </rv>
  <rv s="0">
    <fb>51.6</fb>
    <v>1</v>
  </rv>
  <rv s="0">
    <fb>116.46</fb>
    <v>1</v>
  </rv>
  <rv s="0">
    <fb>106.29</fb>
    <v>1</v>
  </rv>
  <rv s="0">
    <fb>169.82</fb>
    <v>1</v>
  </rv>
  <rv s="0">
    <fb>221.05</fb>
    <v>1</v>
  </rv>
  <rv s="0">
    <fb>451.56</fb>
    <v>1</v>
  </rv>
  <rv s="0">
    <fb>80.64</fb>
    <v>1</v>
  </rv>
  <rv s="0">
    <fb>52.41</fb>
    <v>1</v>
  </rv>
  <rv s="0">
    <fb>116.06</fb>
    <v>1</v>
  </rv>
  <rv s="0">
    <fb>108.58</fb>
    <v>1</v>
  </rv>
  <rv s="0">
    <fb>169.69</fb>
    <v>1</v>
  </rv>
  <rv s="0">
    <fb>225.92</fb>
    <v>1</v>
  </rv>
  <rv s="0">
    <fb>429.14</fb>
    <v>1</v>
  </rv>
  <rv s="0">
    <fb>78.010000000000005</fb>
    <v>1</v>
  </rv>
  <rv s="0">
    <fb>50.38</fb>
    <v>1</v>
  </rv>
  <rv s="0">
    <fb>114.83</fb>
    <v>1</v>
  </rv>
  <rv s="0">
    <fb>101.78</fb>
    <v>1</v>
  </rv>
  <rv s="0">
    <fb>164.22</fb>
    <v>1</v>
  </rv>
  <rv s="0">
    <fb>218.75</fb>
    <v>1</v>
  </rv>
  <rv s="0">
    <fb>459.25</fb>
    <v>1</v>
  </rv>
  <rv s="0">
    <fb>80.489999999999995</fb>
    <v>1</v>
  </rv>
  <rv s="0">
    <fb>50.92</fb>
    <v>1</v>
  </rv>
  <rv s="0">
    <fb>114.64</fb>
    <v>1</v>
  </rv>
  <rv s="0">
    <fb>109.04</fb>
    <v>1</v>
  </rv>
  <rv s="0">
    <fb>166.65</fb>
    <v>1</v>
  </rv>
  <rv s="0">
    <fb>228.05</fb>
    <v>1</v>
  </rv>
  <rv s="0">
    <fb>455.56</fb>
    <v>1</v>
  </rv>
  <rv s="0">
    <fb>76.84</fb>
    <v>1</v>
  </rv>
  <rv s="0">
    <fb>48.84</fb>
    <v>1</v>
  </rv>
  <rv s="0">
    <fb>114.77</fb>
    <v>1</v>
  </rv>
  <rv s="0">
    <fb>106.74</fb>
    <v>1</v>
  </rv>
  <rv s="0">
    <fb>165.5</fb>
    <v>1</v>
  </rv>
  <rv s="0">
    <fb>218.17</fb>
    <v>1</v>
  </rv>
  <rv s="0">
    <fb>474.96</fb>
    <v>1</v>
  </rv>
  <rv s="0">
    <fb>78.680000000000007</fb>
    <v>1</v>
  </rv>
  <rv s="0">
    <fb>48.85</fb>
    <v>1</v>
  </rv>
  <rv s="0">
    <fb>114.08</fb>
    <v>1</v>
  </rv>
  <rv s="0">
    <fb>116.01</fb>
    <v>1</v>
  </rv>
  <rv s="0">
    <fb>170.96</fb>
    <v>1</v>
  </rv>
  <rv s="0">
    <fb>222.45</fb>
    <v>1</v>
  </rv>
  <rv s="0">
    <fb>449.91</fb>
    <v>1</v>
  </rv>
  <rv s="0">
    <fb>75.819999999999993</fb>
    <v>1</v>
  </rv>
  <rv s="0">
    <fb>111.8</fb>
    <v>1</v>
  </rv>
  <rv s="0">
    <fb>106.24</fb>
    <v>1</v>
  </rv>
  <rv s="0">
    <fb>168.09</fb>
    <v>1</v>
  </rv>
  <rv s="0">
    <fb>201.24</fb>
    <v>1</v>
  </rv>
  <rv s="0">
    <fb>436.63</fb>
    <v>1</v>
  </rv>
  <rv s="0">
    <fb>73.22</fb>
    <v>1</v>
  </rv>
  <rv s="0">
    <fb>46.73</fb>
    <v>1</v>
  </rv>
  <rv s="0">
    <fb>110.36</fb>
    <v>1</v>
  </rv>
  <rv s="0">
    <fb>102.54</fb>
    <v>1</v>
  </rv>
  <rv s="0">
    <fb>203.32</fb>
    <v>1</v>
  </rv>
  <rv s="0">
    <fb>451.64</fb>
    <v>1</v>
  </rv>
  <rv s="0">
    <fb>73.599999999999994</fb>
    <v>1</v>
  </rv>
  <rv s="0">
    <fb>45.15</fb>
    <v>1</v>
  </rv>
  <rv s="0">
    <fb>107.1</fb>
    <v>1</v>
  </rv>
  <rv s="0">
    <fb>108.37</fb>
    <v>1</v>
  </rv>
  <rv s="0">
    <fb>180.65</fb>
    <v>1</v>
  </rv>
  <rv s="0">
    <fb>205.27</fb>
    <v>1</v>
  </rv>
  <rv s="0">
    <fb>412</fb>
    <v>1</v>
  </rv>
  <rv s="0">
    <fb>68.64</fb>
    <v>1</v>
  </rv>
  <rv s="0">
    <fb>42.38</fb>
    <v>1</v>
  </rv>
  <rv s="0">
    <fb>102.87</fb>
    <v>1</v>
  </rv>
  <rv s="0">
    <fb>103.94</fb>
    <v>1</v>
  </rv>
  <rv s="0">
    <fb>176.91</fb>
    <v>1</v>
  </rv>
  <rv s="0">
    <fb>184.95</fb>
    <v>1</v>
  </rv>
  <rv s="0">
    <fb>412.93</fb>
    <v>1</v>
  </rv>
  <rv s="0">
    <fb>70.010000000000005</fb>
    <v>1</v>
  </rv>
  <rv s="0">
    <fb>42.64</fb>
    <v>1</v>
  </rv>
  <rv s="0">
    <fb>103.47</fb>
    <v>1</v>
  </rv>
  <rv s="0">
    <fb>99.07</fb>
    <v>1</v>
  </rv>
  <rv s="0">
    <fb>171.14</fb>
    <v>1</v>
  </rv>
  <rv s="0">
    <fb>185.31</fb>
    <v>1</v>
  </rv>
  <rv s="0">
    <fb>377.25</fb>
    <v>1</v>
  </rv>
  <rv s="0">
    <fb>62.49</fb>
    <v>1</v>
  </rv>
  <rv s="0">
    <fb>40.1</fb>
    <v>1</v>
  </rv>
  <rv s="0">
    <fb>101.68</fb>
    <v>1</v>
  </rv>
  <rv s="0">
    <fb>91.11</fb>
    <v>1</v>
  </rv>
  <rv s="0">
    <fb>168.46</fb>
    <v>1</v>
  </rv>
  <rv s="0">
    <fb>169.36</fb>
    <v>1</v>
  </rv>
  <rv s="0">
    <fb>411.99</fb>
    <v>1</v>
  </rv>
  <rv s="0">
    <fb>65.72</fb>
    <v>1</v>
  </rv>
  <rv s="0">
    <fb>39.96</fb>
    <v>1</v>
  </rv>
  <rv s="0">
    <fb>104.07</fb>
    <v>1</v>
  </rv>
  <rv s="0">
    <fb>98.96</fb>
    <v>1</v>
  </rv>
  <rv s="0">
    <fb>164.1</fb>
    <v>1</v>
  </rv>
  <rv s="0">
    <fb>187.25</fb>
    <v>1</v>
  </rv>
  <rv s="0">
    <fb>395.18</fb>
    <v>1</v>
  </rv>
  <rv s="0">
    <fb>61.7</fb>
    <v>1</v>
  </rv>
  <rv s="0">
    <fb>39.43</fb>
    <v>1</v>
  </rv>
  <rv s="0">
    <fb>100.71</fb>
    <v>1</v>
  </rv>
  <rv s="0">
    <fb>93.01</fb>
    <v>1</v>
  </rv>
  <rv s="0">
    <fb>159.27000000000001</fb>
    <v>1</v>
  </rv>
  <rv s="0">
    <fb>183.5</fb>
    <v>1</v>
  </rv>
  <rv s="0">
    <fb>357.18</fb>
    <v>1</v>
  </rv>
  <rv s="0">
    <fb>56.01</fb>
    <v>1</v>
  </rv>
  <rv s="0">
    <fb>34.880000000000003</fb>
    <v>1</v>
  </rv>
  <rv s="0">
    <fb>96.34</fb>
    <v>1</v>
  </rv>
  <rv s="0">
    <fb>80.17</fb>
    <v>1</v>
  </rv>
  <rv s="0">
    <fb>154.66999999999999</fb>
    <v>1</v>
  </rv>
  <rv s="0">
    <fb>164.92</fb>
    <v>1</v>
  </rv>
  <rv s="0">
    <fb>386.21</fb>
    <v>1</v>
  </rv>
  <rv s="0">
    <fb>59.31</fb>
    <v>1</v>
  </rv>
  <rv s="0">
    <fb>34.19</fb>
    <v>1</v>
  </rv>
  <rv s="0">
    <fb>94.9</fb>
    <v>1</v>
  </rv>
  <rv s="0">
    <fb>82.98</fb>
    <v>1</v>
  </rv>
  <rv s="0">
    <fb>151.91</fb>
    <v>1</v>
  </rv>
  <rv s="0">
    <fb>183.33</fb>
    <v>1</v>
  </rv>
  <rv s="0">
    <fb>407.68</fb>
    <v>1</v>
  </rv>
  <rv s="0">
    <fb>67.12</fb>
    <v>1</v>
  </rv>
  <rv s="0">
    <fb>39.520000000000003</fb>
    <v>1</v>
  </rv>
  <rv s="0">
    <fb>98.29</fb>
    <v>1</v>
  </rv>
  <rv s="0">
    <fb>88.08</fb>
    <v>1</v>
  </rv>
  <rv s="0">
    <fb>164.81</fb>
    <v>1</v>
  </rv>
  <rv s="0">
    <fb>187.37</fb>
    <v>1</v>
  </rv>
  <rv s="0">
    <fb>382.43</fb>
    <v>1</v>
  </rv>
  <rv s="0">
    <fb>65.64</fb>
    <v>1</v>
  </rv>
  <rv s="0">
    <fb>37.9</fb>
    <v>1</v>
  </rv>
  <rv s="0">
    <fb>96.99</fb>
    <v>1</v>
  </rv>
  <rv s="0">
    <fb>82.48</fb>
    <v>1</v>
  </rv>
  <rv s="0">
    <fb>169.64</fb>
    <v>1</v>
  </rv>
  <rv s="0">
    <fb>174.36</fb>
    <v>1</v>
  </rv>
  <rv s="0">
    <fb>406.48</fb>
    <v>1</v>
  </rv>
  <rv s="0">
    <fb>71.55</fb>
    <v>1</v>
  </rv>
  <rv s="0">
    <fb>41.36</fb>
    <v>1</v>
  </rv>
  <rv s="0">
    <fb>100.22</fb>
    <v>1</v>
  </rv>
  <rv s="0">
    <fb>91.06</fb>
    <v>1</v>
  </rv>
  <rv s="0">
    <fb>179.41</fb>
    <v>1</v>
  </rv>
  <rv s="0">
    <fb>191.48</fb>
    <v>1</v>
  </rv>
  <rv s="0">
    <fb>396.26</fb>
    <v>1</v>
  </rv>
  <rv s="0">
    <fb>69.349999999999994</fb>
    <v>1</v>
  </rv>
  <rv s="0">
    <fb>38.229999999999997</fb>
    <v>1</v>
  </rv>
  <rv s="0">
    <fb>97.31</fb>
    <v>1</v>
  </rv>
  <rv s="0">
    <fb>85.72</fb>
    <v>1</v>
  </rv>
  <rv s="0">
    <fb>169.78</fb>
    <v>1</v>
  </rv>
  <rv s="0">
    <fb>188.18</fb>
    <v>1</v>
  </rv>
  <rv s="0">
    <fb>409.39</fb>
    <v>1</v>
  </rv>
  <rv s="0">
    <fb>71.52</fb>
    <v>1</v>
  </rv>
  <rv s="0">
    <fb>39.46</fb>
    <v>1</v>
  </rv>
  <rv s="0">
    <fb>99.64</fb>
    <v>1</v>
  </rv>
  <rv s="0">
    <fb>83.04</fb>
    <v>1</v>
  </rv>
  <rv s="0">
    <fb>183.22</fb>
    <v>1</v>
  </rv>
  <rv s="0">
    <fb>178.4</fb>
    <v>1</v>
  </rv>
  <rv s="0">
    <fb>415.93</fb>
    <v>1</v>
  </rv>
  <rv s="0">
    <fb>73.62</fb>
    <v>1</v>
  </rv>
  <rv s="0">
    <fb>39.130000000000003</fb>
    <v>1</v>
  </rv>
  <rv s="0">
    <fb>99.96</fb>
    <v>1</v>
  </rv>
  <rv s="0">
    <fb>83.3</fb>
    <v>1</v>
  </rv>
  <rv s="0">
    <fb>184.8</fb>
    <v>1</v>
  </rv>
  <rv s="0">
    <fb>175.2</fb>
    <v>1</v>
  </rv>
  <rv s="0">
    <fb>417.85</fb>
    <v>1</v>
  </rv>
  <rv s="0">
    <fb>70.67</fb>
    <v>1</v>
  </rv>
  <rv s="0">
    <fb>38.19</fb>
    <v>1</v>
  </rv>
  <rv s="0">
    <fb>98.57</fb>
    <v>1</v>
  </rv>
  <rv s="0">
    <fb>80</fb>
    <v>1</v>
  </rv>
  <rv s="0">
    <fb>182.32</fb>
    <v>1</v>
  </rv>
  <rv s="0">
    <fb>173.77</fb>
    <v>1</v>
  </rv>
  <rv s="0">
    <fb>443.28</fb>
    <v>1</v>
  </rv>
  <rv s="0">
    <fb>72.5</fb>
    <v>1</v>
  </rv>
  <rv s="0">
    <fb>39.56</fb>
    <v>1</v>
  </rv>
  <rv s="0">
    <fb>97.95</fb>
    <v>1</v>
  </rv>
  <rv s="0">
    <fb>83.56</fb>
    <v>1</v>
  </rv>
  <rv s="0">
    <fb>178.27</fb>
    <v>1</v>
  </rv>
  <rv s="0">
    <fb>187.27</fb>
    <v>1</v>
  </rv>
  <rv s="0">
    <fb>457.79</fb>
    <v>1</v>
  </rv>
  <rv s="0">
    <fb>74.459999999999994</fb>
    <v>1</v>
  </rv>
  <rv s="0">
    <fb>41.95</fb>
    <v>1</v>
  </rv>
  <rv s="0">
    <fb>97.68</fb>
    <v>1</v>
  </rv>
  <rv s="0">
    <fb>85.26</fb>
    <v>1</v>
  </rv>
  <rv s="0">
    <fb>182.35</fb>
    <v>1</v>
  </rv>
  <rv s="0">
    <fb>198.71</fb>
    <v>1</v>
  </rv>
  <rv s="0">
    <fb>450.35</fb>
    <v>1</v>
  </rv>
  <rv s="0">
    <fb>71.53</fb>
    <v>1</v>
  </rv>
  <rv s="0">
    <fb>39.17</fb>
    <v>1</v>
  </rv>
  <rv s="0">
    <fb>96.8</fb>
    <v>1</v>
  </rv>
  <rv s="0">
    <fb>82.38</fb>
    <v>1</v>
  </rv>
  <rv s="0">
    <fb>180.02</fb>
    <v>1</v>
  </rv>
  <rv s="0">
    <fb>188.61</fb>
    <v>1</v>
  </rv>
  <rv s="0">
    <fb>427.48</fb>
    <v>1</v>
  </rv>
  <rv s="0">
    <fb>68.92</fb>
    <v>1</v>
  </rv>
  <rv s="0">
    <fb>37.950000000000003</fb>
    <v>1</v>
  </rv>
  <rv s="0">
    <fb>94.04</fb>
    <v>1</v>
  </rv>
  <rv s="0">
    <fb>75.66</fb>
    <v>1</v>
  </rv>
  <rv s="0">
    <fb>171.45</fb>
    <v>1</v>
  </rv>
  <rv s="0">
    <fb>176.74</fb>
    <v>1</v>
  </rv>
  <rv s="0">
    <fb>418.2</fb>
    <v>1</v>
  </rv>
  <rv s="0">
    <fb>66.92</fb>
    <v>1</v>
  </rv>
  <rv s="0">
    <fb>36.700000000000003</fb>
    <v>1</v>
  </rv>
  <rv s="0">
    <fb>92.31</fb>
    <v>1</v>
  </rv>
  <rv s="0">
    <fb>72.92</fb>
    <v>1</v>
  </rv>
  <rv s="0">
    <fb>184.09</fb>
    <v>1</v>
  </rv>
  <rv s="0">
    <fb>164.52</fb>
    <v>1</v>
  </rv>
  <rv s="0">
    <fb>456.4</fb>
    <v>1</v>
  </rv>
  <rv s="0">
    <fb>72.42</fb>
    <v>1</v>
  </rv>
  <rv s="0">
    <fb>96.26</fb>
    <v>1</v>
  </rv>
  <rv s="0">
    <fb>81.73</fb>
    <v>1</v>
  </rv>
  <rv s="0">
    <fb>188.75</fb>
    <v>1</v>
  </rv>
  <rv s="0">
    <fb>179.66</fb>
    <v>1</v>
  </rv>
  <rv s="0">
    <fb>475.31</fb>
    <v>1</v>
  </rv>
  <rv s="0">
    <fb>75.349999999999994</fb>
    <v>1</v>
  </rv>
  <rv s="0">
    <fb>40.21</fb>
    <v>1</v>
  </rv>
  <rv s="0">
    <fb>99.25</fb>
    <v>1</v>
  </rv>
  <rv s="0">
    <fb>88.36</fb>
    <v>1</v>
  </rv>
  <rv s="0">
    <fb>191.17</fb>
    <v>1</v>
  </rv>
  <rv s="0">
    <fb>200.71</fb>
    <v>1</v>
  </rv>
  <rv s="0">
    <fb>482.88</fb>
    <v>1</v>
  </rv>
  <rv s="0">
    <fb>75.010000000000005</fb>
    <v>1</v>
  </rv>
  <rv s="0">
    <fb>38.39</fb>
    <v>1</v>
  </rv>
  <rv s="0">
    <fb>99.1</fb>
    <v>1</v>
  </rv>
  <rv s="0">
    <fb>83.89</fb>
    <v>1</v>
  </rv>
  <rv s="0">
    <fb>188.45</fb>
    <v>1</v>
  </rv>
  <rv s="0">
    <fb>192.88</fb>
    <v>1</v>
  </rv>
  <rv s="1">
    <v>2</v>
    <v>SPY</v>
    <v>Monthly</v>
    <v>43466</v>
    <v>45322</v>
    <v>0</v>
    <v>1</v>
    <v>638422560000000000,639232102332614254,0</v>
    <v>0</v>
    <v>a23hqh</v>
    <v>ARCX:SPY</v>
    <v>1</v>
  </rv>
  <rv s="1">
    <v>2</v>
    <v>EFA</v>
    <v>Monthly</v>
    <v>43466</v>
    <v>45322</v>
    <v>0</v>
    <v>1</v>
    <v>638422560000000000,639232111482677096,0</v>
    <v>0</v>
    <v>a1rpu2</v>
    <v>ARCX:EFA</v>
    <v>2</v>
  </rv>
  <rv s="1">
    <v>2</v>
    <v>EEM</v>
    <v>Monthly</v>
    <v>43466</v>
    <v>45322</v>
    <v>0</v>
    <v>1</v>
    <v>638422560000000000,639232112554967614,0</v>
    <v>0</v>
    <v>a1rour</v>
    <v>ARCX:EEM</v>
    <v>3</v>
  </rv>
  <rv s="1">
    <v>2</v>
    <v>IWM</v>
    <v>Monthly</v>
    <v>43466</v>
    <v>45322</v>
    <v>0</v>
    <v>1</v>
    <v>638422560000000000,639232113088688203,0</v>
    <v>0</v>
    <v>a1vxfr</v>
    <v>ARCX:IWM</v>
    <v>4</v>
  </rv>
  <rv s="1">
    <v>2</v>
    <v>AGG</v>
    <v>Monthly</v>
    <v>43466</v>
    <v>45322</v>
    <v>0</v>
    <v>1</v>
    <v>638422560000000000,639232112652619089,0</v>
    <v>0</v>
    <v>a1n26h</v>
    <v>ARCX:AGG</v>
    <v>5</v>
  </rv>
  <rv s="1">
    <v>2</v>
    <v>VNQ</v>
    <v>Monthly</v>
    <v>43466</v>
    <v>45322</v>
    <v>0</v>
    <v>1</v>
    <v>638422560000000000,639232112872827954,0</v>
    <v>0</v>
    <v>a25gmw</v>
    <v>ARCX:VNQ</v>
    <v>6</v>
  </rv>
  <rv s="1">
    <v>2</v>
    <v>GLD</v>
    <v>Monthly</v>
    <v>43466</v>
    <v>45322</v>
    <v>0</v>
    <v>1</v>
    <v>638422560000000000,639232112973351418,0</v>
    <v>0</v>
    <v>a1twnm</v>
    <v>ARCX:GLD</v>
    <v>7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19B7-1740-420E-AFAC-87EB5A78036A}">
  <dimension ref="B1:N43"/>
  <sheetViews>
    <sheetView tabSelected="1" workbookViewId="0">
      <selection activeCell="S10" sqref="S10"/>
    </sheetView>
  </sheetViews>
  <sheetFormatPr defaultRowHeight="15" x14ac:dyDescent="0.25"/>
  <cols>
    <col min="2" max="2" width="29.85546875" bestFit="1" customWidth="1"/>
    <col min="3" max="3" width="7.140625" bestFit="1" customWidth="1"/>
    <col min="10" max="10" width="11.85546875" bestFit="1" customWidth="1"/>
    <col min="12" max="12" width="20.140625" bestFit="1" customWidth="1"/>
    <col min="13" max="13" width="22.28515625" bestFit="1" customWidth="1"/>
    <col min="14" max="14" width="21.42578125" bestFit="1" customWidth="1"/>
  </cols>
  <sheetData>
    <row r="1" spans="2:14" x14ac:dyDescent="0.25">
      <c r="B1" s="7" t="s">
        <v>8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14</v>
      </c>
      <c r="L1" s="8" t="s">
        <v>21</v>
      </c>
    </row>
    <row r="2" spans="2:14" x14ac:dyDescent="0.25">
      <c r="B2" s="2">
        <v>0.57599068183803381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0.42400932298753735</v>
      </c>
      <c r="I2" s="2">
        <v>0</v>
      </c>
      <c r="J2" s="2">
        <f>SUM(B2:I2)</f>
        <v>1.0000000048255711</v>
      </c>
      <c r="L2" s="9" t="s">
        <v>23</v>
      </c>
      <c r="M2" s="9" t="s">
        <v>24</v>
      </c>
      <c r="N2" s="9" t="s">
        <v>25</v>
      </c>
    </row>
    <row r="3" spans="2:14" x14ac:dyDescent="0.25">
      <c r="B3" s="5">
        <f ca="1">Returns!B66</f>
        <v>0.11632110189077202</v>
      </c>
      <c r="C3" s="5">
        <f ca="1">Returns!C66</f>
        <v>3.5915804098744897E-2</v>
      </c>
      <c r="D3" s="5">
        <f ca="1">Returns!D66</f>
        <v>-2.3145197619399153E-2</v>
      </c>
      <c r="E3" s="5">
        <f ca="1">Returns!E66</f>
        <v>-1.6197848792946629E-2</v>
      </c>
      <c r="F3" s="5">
        <f>Returns!F66</f>
        <v>-5.0145583600032677E-2</v>
      </c>
      <c r="G3" s="5">
        <f ca="1">Returns!G66</f>
        <v>1.1476421209364331E-3</v>
      </c>
      <c r="H3" s="5">
        <f ca="1">Returns!H66</f>
        <v>8.2504197016303266E-2</v>
      </c>
      <c r="I3" s="5">
        <f ca="1">Returns!I66</f>
        <v>5.1543864883873546E-2</v>
      </c>
      <c r="L3" s="10">
        <v>0.05</v>
      </c>
      <c r="M3" s="5">
        <v>9.0999999999999998E-2</v>
      </c>
      <c r="N3" s="5">
        <v>0.05</v>
      </c>
    </row>
    <row r="4" spans="2:14" x14ac:dyDescent="0.25">
      <c r="L4" s="10">
        <v>0.06</v>
      </c>
      <c r="M4" s="5">
        <v>9.8000000000000004E-2</v>
      </c>
      <c r="N4" s="5">
        <v>0.06</v>
      </c>
    </row>
    <row r="5" spans="2:14" x14ac:dyDescent="0.25">
      <c r="B5" t="s">
        <v>15</v>
      </c>
      <c r="C5" s="5">
        <f ca="1">SUMPRODUCT(B2:I2, B3:I3)</f>
        <v>0.10198241951073034</v>
      </c>
      <c r="L5" s="10">
        <v>7.0000000000000007E-2</v>
      </c>
      <c r="M5" s="5">
        <v>0.1052</v>
      </c>
      <c r="N5" s="5">
        <v>7.0000000000000007E-2</v>
      </c>
    </row>
    <row r="6" spans="2:14" x14ac:dyDescent="0.25">
      <c r="B6" t="s">
        <v>17</v>
      </c>
      <c r="C6" s="5" cm="1">
        <f t="array" aca="1" ref="C6" ca="1">MMULT(B2:I2, MMULT(Matrices!B2:I9, TRANSPOSE(B2:I2))) * 12</f>
        <v>1.7829021107155247E-2</v>
      </c>
      <c r="L6" s="10">
        <v>0.08</v>
      </c>
      <c r="M6" s="5">
        <v>0.11269999999999999</v>
      </c>
      <c r="N6" s="5">
        <v>0.08</v>
      </c>
    </row>
    <row r="7" spans="2:14" x14ac:dyDescent="0.25">
      <c r="B7" t="s">
        <v>16</v>
      </c>
      <c r="C7" s="5">
        <f ca="1">SQRT(C6)</f>
        <v>0.13352535754363382</v>
      </c>
      <c r="L7" s="10">
        <v>0.09</v>
      </c>
      <c r="M7" s="5">
        <v>0.12039999999999999</v>
      </c>
      <c r="N7" s="5">
        <v>0.09</v>
      </c>
    </row>
    <row r="8" spans="2:14" x14ac:dyDescent="0.25">
      <c r="B8" t="s">
        <v>22</v>
      </c>
      <c r="C8" s="6">
        <f ca="1">(C5 - 0.04) / C7</f>
        <v>0.46419961459736619</v>
      </c>
      <c r="L8" s="10">
        <v>0.1</v>
      </c>
      <c r="M8" s="5">
        <v>0.12970000000000001</v>
      </c>
      <c r="N8" s="5">
        <v>0.1</v>
      </c>
    </row>
    <row r="9" spans="2:14" x14ac:dyDescent="0.25">
      <c r="L9" s="10">
        <v>0.11</v>
      </c>
      <c r="M9" s="5">
        <v>0.15720000000000001</v>
      </c>
      <c r="N9" s="5">
        <v>0.11</v>
      </c>
    </row>
    <row r="35" spans="3:5" x14ac:dyDescent="0.25">
      <c r="C35" s="9" t="s">
        <v>18</v>
      </c>
      <c r="D35" s="9" t="s">
        <v>20</v>
      </c>
      <c r="E35" s="9" t="s">
        <v>19</v>
      </c>
    </row>
    <row r="36" spans="3:5" x14ac:dyDescent="0.25">
      <c r="C36" s="9" t="s">
        <v>8</v>
      </c>
      <c r="D36" s="5">
        <v>0.125</v>
      </c>
      <c r="E36" s="5">
        <v>0.57599999999999996</v>
      </c>
    </row>
    <row r="37" spans="3:5" x14ac:dyDescent="0.25">
      <c r="C37" s="9" t="s">
        <v>0</v>
      </c>
      <c r="D37" s="5">
        <v>0.125</v>
      </c>
      <c r="E37" s="5">
        <v>0</v>
      </c>
    </row>
    <row r="38" spans="3:5" x14ac:dyDescent="0.25">
      <c r="C38" s="9" t="s">
        <v>1</v>
      </c>
      <c r="D38" s="5">
        <v>0.125</v>
      </c>
      <c r="E38" s="5">
        <v>0</v>
      </c>
    </row>
    <row r="39" spans="3:5" x14ac:dyDescent="0.25">
      <c r="C39" s="9" t="s">
        <v>2</v>
      </c>
      <c r="D39" s="5">
        <v>0.125</v>
      </c>
      <c r="E39" s="5">
        <v>0</v>
      </c>
    </row>
    <row r="40" spans="3:5" x14ac:dyDescent="0.25">
      <c r="C40" s="9" t="s">
        <v>3</v>
      </c>
      <c r="D40" s="5">
        <v>0.125</v>
      </c>
      <c r="E40" s="5">
        <v>0</v>
      </c>
    </row>
    <row r="41" spans="3:5" x14ac:dyDescent="0.25">
      <c r="C41" s="9" t="s">
        <v>4</v>
      </c>
      <c r="D41" s="5">
        <v>0.125</v>
      </c>
      <c r="E41" s="5">
        <v>0</v>
      </c>
    </row>
    <row r="42" spans="3:5" x14ac:dyDescent="0.25">
      <c r="C42" s="9" t="s">
        <v>5</v>
      </c>
      <c r="D42" s="5">
        <v>0.125</v>
      </c>
      <c r="E42" s="5">
        <v>0.42399999999999999</v>
      </c>
    </row>
    <row r="43" spans="3:5" x14ac:dyDescent="0.25">
      <c r="C43" s="9" t="s">
        <v>6</v>
      </c>
      <c r="D43" s="5">
        <v>0.125</v>
      </c>
      <c r="E43" s="5">
        <v>0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BFFC-6122-4A5F-BCE0-549176C50B2B}">
  <dimension ref="A1:M9"/>
  <sheetViews>
    <sheetView workbookViewId="0">
      <selection activeCell="M4" sqref="M4"/>
    </sheetView>
  </sheetViews>
  <sheetFormatPr defaultRowHeight="15" x14ac:dyDescent="0.25"/>
  <cols>
    <col min="13" max="13" width="12.7109375" bestFit="1" customWidth="1"/>
  </cols>
  <sheetData>
    <row r="1" spans="1:13" x14ac:dyDescent="0.25">
      <c r="A1" s="4"/>
      <c r="B1" s="4" t="s">
        <v>8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13" x14ac:dyDescent="0.25">
      <c r="A2" t="s">
        <v>8</v>
      </c>
      <c r="B2" s="6">
        <v>1</v>
      </c>
      <c r="C2" s="6">
        <f>B3</f>
        <v>0.89801073681324561</v>
      </c>
      <c r="D2" s="6">
        <f>B4</f>
        <v>0.73762919198505728</v>
      </c>
      <c r="E2" s="6">
        <f>B5</f>
        <v>0.49333397714701477</v>
      </c>
      <c r="F2" s="6">
        <f>B6</f>
        <v>0.18854058352780961</v>
      </c>
      <c r="G2" s="6">
        <f>B7</f>
        <v>0.85959989739040976</v>
      </c>
      <c r="H2" s="6">
        <f>B8</f>
        <v>0.24829753734171392</v>
      </c>
      <c r="I2" s="6">
        <f>B9</f>
        <v>0.88447666055478125</v>
      </c>
    </row>
    <row r="3" spans="1:13" x14ac:dyDescent="0.25">
      <c r="A3" t="s">
        <v>0</v>
      </c>
      <c r="B3" s="6">
        <v>0.89801073681324561</v>
      </c>
      <c r="C3" s="6">
        <v>1</v>
      </c>
      <c r="D3" s="6">
        <f>C4</f>
        <v>0.83251475242435258</v>
      </c>
      <c r="E3" s="6">
        <f>C5</f>
        <v>0.53049012258120298</v>
      </c>
      <c r="F3" s="6">
        <f>C6</f>
        <v>0.18728557188512157</v>
      </c>
      <c r="G3" s="6">
        <f>C7</f>
        <v>0.81812414753723228</v>
      </c>
      <c r="H3" s="6">
        <f>C8</f>
        <v>0.27417857747527047</v>
      </c>
      <c r="I3" s="6">
        <f>C9</f>
        <v>0.83951757665248272</v>
      </c>
      <c r="M3" t="s">
        <v>26</v>
      </c>
    </row>
    <row r="4" spans="1:13" x14ac:dyDescent="0.25">
      <c r="A4" t="s">
        <v>1</v>
      </c>
      <c r="B4" s="6">
        <v>0.73762919198505728</v>
      </c>
      <c r="C4" s="6">
        <v>0.83251475242435258</v>
      </c>
      <c r="D4" s="6">
        <v>1</v>
      </c>
      <c r="E4" s="6">
        <f>D5</f>
        <v>0.49638346532266253</v>
      </c>
      <c r="F4" s="6">
        <f>D6</f>
        <v>0.19271784882135079</v>
      </c>
      <c r="G4" s="6">
        <f>D7</f>
        <v>0.67649776706465981</v>
      </c>
      <c r="H4" s="6">
        <f>D8</f>
        <v>0.33877192117125188</v>
      </c>
      <c r="I4" s="6">
        <f>D9</f>
        <v>0.75315266966870376</v>
      </c>
    </row>
    <row r="5" spans="1:13" x14ac:dyDescent="0.25">
      <c r="A5" t="s">
        <v>2</v>
      </c>
      <c r="B5" s="6">
        <v>0.49333397714701477</v>
      </c>
      <c r="C5" s="6">
        <v>0.53049012258120298</v>
      </c>
      <c r="D5" s="6">
        <v>0.49638346532266253</v>
      </c>
      <c r="E5" s="6">
        <v>1</v>
      </c>
      <c r="F5" s="6">
        <f>E6</f>
        <v>0.86164657952743928</v>
      </c>
      <c r="G5" s="6">
        <f>E7</f>
        <v>0.57166299556667266</v>
      </c>
      <c r="H5" s="6">
        <f>E8</f>
        <v>0.44738309522933006</v>
      </c>
      <c r="I5" s="6">
        <f>E9</f>
        <v>0.36501056449142399</v>
      </c>
    </row>
    <row r="6" spans="1:13" x14ac:dyDescent="0.25">
      <c r="A6" t="s">
        <v>3</v>
      </c>
      <c r="B6" s="6">
        <v>0.18854058352780961</v>
      </c>
      <c r="C6" s="6">
        <v>0.18728557188512157</v>
      </c>
      <c r="D6" s="6">
        <v>0.19271784882135079</v>
      </c>
      <c r="E6" s="6">
        <v>0.86164657952743928</v>
      </c>
      <c r="F6" s="6">
        <v>1</v>
      </c>
      <c r="G6" s="6">
        <f>F7</f>
        <v>0.33671430622165532</v>
      </c>
      <c r="H6" s="6">
        <f>F8</f>
        <v>0.43366999371872056</v>
      </c>
      <c r="I6" s="6">
        <f>F9</f>
        <v>5.017489051661024E-2</v>
      </c>
    </row>
    <row r="7" spans="1:13" x14ac:dyDescent="0.25">
      <c r="A7" t="s">
        <v>4</v>
      </c>
      <c r="B7" s="6">
        <v>0.85959989739040976</v>
      </c>
      <c r="C7" s="6">
        <v>0.81812414753723228</v>
      </c>
      <c r="D7" s="6">
        <v>0.67649776706465981</v>
      </c>
      <c r="E7" s="6">
        <v>0.57166299556667266</v>
      </c>
      <c r="F7" s="6">
        <v>0.33671430622165532</v>
      </c>
      <c r="G7" s="6">
        <v>1</v>
      </c>
      <c r="H7" s="6">
        <f>G8</f>
        <v>0.27899893723808722</v>
      </c>
      <c r="I7" s="6">
        <f>G9</f>
        <v>0.80767468464617587</v>
      </c>
    </row>
    <row r="8" spans="1:13" x14ac:dyDescent="0.25">
      <c r="A8" t="s">
        <v>5</v>
      </c>
      <c r="B8" s="6">
        <v>0.24829753734171392</v>
      </c>
      <c r="C8" s="6">
        <v>0.27417857747527047</v>
      </c>
      <c r="D8" s="6">
        <v>0.33877192117125188</v>
      </c>
      <c r="E8" s="6">
        <v>0.44738309522933006</v>
      </c>
      <c r="F8" s="6">
        <v>0.43366999371872056</v>
      </c>
      <c r="G8" s="6">
        <v>0.27899893723808722</v>
      </c>
      <c r="H8" s="6">
        <v>1</v>
      </c>
      <c r="I8" s="6">
        <f>H9</f>
        <v>8.3471815719795492E-2</v>
      </c>
    </row>
    <row r="9" spans="1:13" ht="15.75" thickBot="1" x14ac:dyDescent="0.3">
      <c r="A9" s="3" t="s">
        <v>6</v>
      </c>
      <c r="B9" s="11">
        <v>0.88447666055478125</v>
      </c>
      <c r="C9" s="11">
        <v>0.83951757665248272</v>
      </c>
      <c r="D9" s="11">
        <v>0.75315266966870376</v>
      </c>
      <c r="E9" s="11">
        <v>0.36501056449142399</v>
      </c>
      <c r="F9" s="11">
        <v>5.017489051661024E-2</v>
      </c>
      <c r="G9" s="11">
        <v>0.80767468464617587</v>
      </c>
      <c r="H9" s="11">
        <v>8.3471815719795492E-2</v>
      </c>
      <c r="I9" s="11">
        <v>1</v>
      </c>
    </row>
  </sheetData>
  <conditionalFormatting sqref="B2:I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2AD1-2427-4F82-8831-88CD09C3611F}">
  <dimension ref="A1:I9"/>
  <sheetViews>
    <sheetView workbookViewId="0">
      <selection activeCell="F14" sqref="F14"/>
    </sheetView>
  </sheetViews>
  <sheetFormatPr defaultRowHeight="15" x14ac:dyDescent="0.25"/>
  <sheetData>
    <row r="1" spans="1:9" x14ac:dyDescent="0.25">
      <c r="A1" s="4"/>
      <c r="B1" s="4" t="s">
        <v>8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ht="15.75" thickBot="1" x14ac:dyDescent="0.3">
      <c r="A2" t="s">
        <v>8</v>
      </c>
      <c r="B2">
        <f ca="1">VARP(Returns!$B$2:$B$61)</f>
        <v>2.7816689975640021E-3</v>
      </c>
      <c r="C2">
        <v>2.4323554350601257E-3</v>
      </c>
      <c r="D2">
        <v>2.0872747233129903E-3</v>
      </c>
      <c r="E2">
        <v>4.6149707271860913E-4</v>
      </c>
      <c r="F2">
        <v>4.5043509126915587E-4</v>
      </c>
      <c r="G2">
        <v>2.7539682584771887E-3</v>
      </c>
      <c r="H2">
        <v>5.3593685071817569E-4</v>
      </c>
      <c r="I2" s="3">
        <v>3.2318791102671483E-3</v>
      </c>
    </row>
    <row r="3" spans="1:9" ht="15.75" thickBot="1" x14ac:dyDescent="0.3">
      <c r="A3" t="s">
        <v>0</v>
      </c>
      <c r="B3">
        <v>2.4323554350601257E-3</v>
      </c>
      <c r="C3">
        <f ca="1">VARP(Returns!$C$2:$C$61)</f>
        <v>2.6374580878218545E-3</v>
      </c>
      <c r="D3">
        <v>2.2938948932138838E-3</v>
      </c>
      <c r="E3">
        <v>4.8322042564553994E-4</v>
      </c>
      <c r="F3">
        <v>4.3568413912649785E-4</v>
      </c>
      <c r="G3">
        <v>2.5522419644126294E-3</v>
      </c>
      <c r="H3">
        <v>5.7625510387820423E-4</v>
      </c>
      <c r="I3" s="3">
        <v>2.9870231035951768E-3</v>
      </c>
    </row>
    <row r="4" spans="1:9" ht="15.75" thickBot="1" x14ac:dyDescent="0.3">
      <c r="A4" t="s">
        <v>1</v>
      </c>
      <c r="B4">
        <v>2.0872747233129903E-3</v>
      </c>
      <c r="C4">
        <v>2.2938948932138838E-3</v>
      </c>
      <c r="D4">
        <f ca="1">VARP(Returns!$D$2:$D$61)</f>
        <v>2.878575243337087E-3</v>
      </c>
      <c r="E4">
        <v>4.7236890113230731E-4</v>
      </c>
      <c r="F4">
        <v>4.6836601768765945E-4</v>
      </c>
      <c r="G4">
        <v>2.2047787312106755E-3</v>
      </c>
      <c r="H4">
        <v>7.4384882727929192E-4</v>
      </c>
      <c r="I4" s="3">
        <v>2.7995473538309796E-3</v>
      </c>
    </row>
    <row r="5" spans="1:9" ht="15.75" thickBot="1" x14ac:dyDescent="0.3">
      <c r="A5" t="s">
        <v>2</v>
      </c>
      <c r="B5">
        <v>4.6149707271860913E-4</v>
      </c>
      <c r="C5">
        <v>4.8322042564553994E-4</v>
      </c>
      <c r="D5">
        <v>4.7236890113230731E-4</v>
      </c>
      <c r="E5">
        <f ca="1">VARP(Returns!$E$2:$E$61)</f>
        <v>3.1459397157654719E-4</v>
      </c>
      <c r="F5">
        <v>6.9227557884677174E-4</v>
      </c>
      <c r="G5">
        <v>6.1592116645915718E-4</v>
      </c>
      <c r="H5">
        <v>3.247455813776352E-4</v>
      </c>
      <c r="I5" s="3">
        <v>4.4853530989622052E-4</v>
      </c>
    </row>
    <row r="6" spans="1:9" ht="15.75" thickBot="1" x14ac:dyDescent="0.3">
      <c r="A6" t="s">
        <v>3</v>
      </c>
      <c r="B6">
        <v>4.5043509126915587E-4</v>
      </c>
      <c r="C6">
        <v>4.3568413912649785E-4</v>
      </c>
      <c r="D6">
        <v>4.6836601768765945E-4</v>
      </c>
      <c r="E6">
        <v>6.9227557884677174E-4</v>
      </c>
      <c r="F6">
        <f>VARP(Returns!$F$2:$F$61)</f>
        <v>2.0518673931182669E-3</v>
      </c>
      <c r="G6">
        <v>9.2650136665278771E-4</v>
      </c>
      <c r="H6">
        <v>8.0393789682203093E-4</v>
      </c>
      <c r="I6" s="3">
        <v>1.5746247868207293E-4</v>
      </c>
    </row>
    <row r="7" spans="1:9" ht="15.75" thickBot="1" x14ac:dyDescent="0.3">
      <c r="A7" t="s">
        <v>4</v>
      </c>
      <c r="B7">
        <v>2.7539682584771887E-3</v>
      </c>
      <c r="C7">
        <v>2.5522419644126294E-3</v>
      </c>
      <c r="D7">
        <v>2.2047787312106755E-3</v>
      </c>
      <c r="E7">
        <v>6.1592116645915718E-4</v>
      </c>
      <c r="F7">
        <v>9.2650136665278771E-4</v>
      </c>
      <c r="G7">
        <f ca="1">VARP(Returns!$G$2:$G$61)</f>
        <v>3.6899433662524327E-3</v>
      </c>
      <c r="H7">
        <v>6.9358690003272028E-4</v>
      </c>
      <c r="I7" s="3">
        <v>3.3990873568206501E-3</v>
      </c>
    </row>
    <row r="8" spans="1:9" ht="15.75" thickBot="1" x14ac:dyDescent="0.3">
      <c r="A8" t="s">
        <v>5</v>
      </c>
      <c r="B8">
        <v>5.3593685071817569E-4</v>
      </c>
      <c r="C8">
        <v>5.7625510387820423E-4</v>
      </c>
      <c r="D8">
        <v>7.4384882727929192E-4</v>
      </c>
      <c r="E8">
        <v>3.247455813776352E-4</v>
      </c>
      <c r="F8">
        <v>8.0393789682203093E-4</v>
      </c>
      <c r="G8">
        <v>6.9358690003272028E-4</v>
      </c>
      <c r="H8">
        <f ca="1">VARP(Returns!$H$2:$H$61)</f>
        <v>1.6748540404300401E-3</v>
      </c>
      <c r="I8" s="3">
        <v>2.3667061988354193E-4</v>
      </c>
    </row>
    <row r="9" spans="1:9" ht="15.75" thickBot="1" x14ac:dyDescent="0.3">
      <c r="A9" s="3" t="s">
        <v>6</v>
      </c>
      <c r="B9" s="3">
        <v>3.2318791102671483E-3</v>
      </c>
      <c r="C9" s="3">
        <v>2.9870231035951768E-3</v>
      </c>
      <c r="D9" s="3">
        <v>2.7995473538309796E-3</v>
      </c>
      <c r="E9" s="3">
        <v>4.4853530989622052E-4</v>
      </c>
      <c r="F9" s="3">
        <v>1.5746247868207293E-4</v>
      </c>
      <c r="G9" s="3">
        <v>3.3990873568206501E-3</v>
      </c>
      <c r="H9" s="3">
        <v>2.3667061988354193E-4</v>
      </c>
      <c r="I9" s="3">
        <f ca="1">VARP(Returns!$I$2:$I$61)</f>
        <v>4.7998980173667655E-3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16E7-FC1D-4BBE-88E5-1159C0442C92}">
  <dimension ref="A1:I67"/>
  <sheetViews>
    <sheetView topLeftCell="A46" workbookViewId="0">
      <selection activeCell="D2" sqref="D2"/>
    </sheetView>
  </sheetViews>
  <sheetFormatPr defaultRowHeight="15" x14ac:dyDescent="0.25"/>
  <cols>
    <col min="1" max="1" width="25.7109375" bestFit="1" customWidth="1"/>
  </cols>
  <sheetData>
    <row r="1" spans="1:9" x14ac:dyDescent="0.25">
      <c r="A1" t="s">
        <v>9</v>
      </c>
      <c r="B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vm="1">
        <f ca="1">Historical_Data!A3</f>
        <v>43497</v>
      </c>
      <c r="B2">
        <f ca="1">LN(Historical_Data!B3 / Historical_Data!B2)</f>
        <v>3.190150403629418E-2</v>
      </c>
      <c r="C2">
        <f ca="1">LN(Historical_Data!C3 / Historical_Data!C2)</f>
        <v>2.5050541895374721E-2</v>
      </c>
      <c r="D2">
        <f ca="1">LN(Historical_Data!D3 / Historical_Data!D2)</f>
        <v>-1.5431683363919776E-2</v>
      </c>
      <c r="E2">
        <f ca="1">LN(Historical_Data!E3 / Historical_Data!E2)</f>
        <v>-3.6358591304967254E-3</v>
      </c>
      <c r="F2">
        <f>LN(Historical_Data!F3 / Historical_Data!F2)</f>
        <v>-2.6317968969715535E-3</v>
      </c>
      <c r="G2">
        <f ca="1">LN(Historical_Data!G3 / Historical_Data!G2)</f>
        <v>6.9295378840152442E-3</v>
      </c>
      <c r="H2">
        <f ca="1">LN(Historical_Data!H3 / Historical_Data!H2)</f>
        <v>-6.1108174398773743E-3</v>
      </c>
      <c r="I2">
        <f ca="1">LN(Historical_Data!I3 / Historical_Data!I2)</f>
        <v>5.0494639307028244E-2</v>
      </c>
    </row>
    <row r="3" spans="1:9" x14ac:dyDescent="0.25">
      <c r="A3" vm="2">
        <f ca="1">Historical_Data!A4</f>
        <v>43525</v>
      </c>
      <c r="B3">
        <f ca="1">LN(Historical_Data!B4 / Historical_Data!B3)</f>
        <v>1.3543581458212934E-2</v>
      </c>
      <c r="C3">
        <f ca="1">LN(Historical_Data!C4 / Historical_Data!C3)</f>
        <v>9.1381414959771749E-3</v>
      </c>
      <c r="D3">
        <f ca="1">LN(Historical_Data!D4 / Historical_Data!D3)</f>
        <v>1.1246604016715367E-2</v>
      </c>
      <c r="E3">
        <f ca="1">LN(Historical_Data!E4 / Historical_Data!E3)</f>
        <v>1.8507051770472915E-2</v>
      </c>
      <c r="F3">
        <f>LN(Historical_Data!F4 / Historical_Data!F3)</f>
        <v>5.1206821077895322E-2</v>
      </c>
      <c r="G3">
        <f ca="1">LN(Historical_Data!G4 / Historical_Data!G3)</f>
        <v>3.4175356311833091E-2</v>
      </c>
      <c r="H3">
        <f ca="1">LN(Historical_Data!H4 / Historical_Data!H3)</f>
        <v>-1.6097908604507709E-2</v>
      </c>
      <c r="I3">
        <f ca="1">LN(Historical_Data!I4 / Historical_Data!I3)</f>
        <v>-2.3817565016586273E-2</v>
      </c>
    </row>
    <row r="4" spans="1:9" x14ac:dyDescent="0.25">
      <c r="A4" vm="3">
        <f ca="1">Historical_Data!A5</f>
        <v>43556</v>
      </c>
      <c r="B4">
        <f ca="1">LN(Historical_Data!B5 / Historical_Data!B4)</f>
        <v>4.0040040615689179E-2</v>
      </c>
      <c r="C4">
        <f ca="1">LN(Historical_Data!C5 / Historical_Data!C4)</f>
        <v>2.8872997914462583E-2</v>
      </c>
      <c r="D4">
        <f ca="1">LN(Historical_Data!D5 / Historical_Data!D4)</f>
        <v>2.3259540225190459E-2</v>
      </c>
      <c r="E4">
        <f ca="1">LN(Historical_Data!E5 / Historical_Data!E4)</f>
        <v>-4.4105557118423906E-3</v>
      </c>
      <c r="F4">
        <f>LN(Historical_Data!F5 / Historical_Data!F4)</f>
        <v>-2.3031369012091019E-2</v>
      </c>
      <c r="G4">
        <f ca="1">LN(Historical_Data!G5 / Historical_Data!G4)</f>
        <v>-1.6121606439704137E-3</v>
      </c>
      <c r="H4">
        <f ca="1">LN(Historical_Data!H5 / Historical_Data!H4)</f>
        <v>-6.6609349520287903E-3</v>
      </c>
      <c r="I4">
        <f ca="1">LN(Historical_Data!I5 / Historical_Data!I4)</f>
        <v>3.340280995365718E-2</v>
      </c>
    </row>
    <row r="5" spans="1:9" x14ac:dyDescent="0.25">
      <c r="A5" vm="4">
        <f ca="1">Historical_Data!A6</f>
        <v>43586</v>
      </c>
      <c r="B5">
        <f ca="1">LN(Historical_Data!B6 / Historical_Data!B5)</f>
        <v>-6.5895358055653802E-2</v>
      </c>
      <c r="C5">
        <f ca="1">LN(Historical_Data!C6 / Historical_Data!C5)</f>
        <v>-5.1640237350454192E-2</v>
      </c>
      <c r="D5">
        <f ca="1">LN(Historical_Data!D6 / Historical_Data!D5)</f>
        <v>-7.6123695472800693E-2</v>
      </c>
      <c r="E5">
        <f ca="1">LN(Historical_Data!E6 / Historical_Data!E5)</f>
        <v>1.6530811614185775E-2</v>
      </c>
      <c r="F5">
        <f>LN(Historical_Data!F6 / Historical_Data!F5)</f>
        <v>5.5440009129092811E-2</v>
      </c>
      <c r="G5">
        <f ca="1">LN(Historical_Data!G6 / Historical_Data!G5)</f>
        <v>1.3820110457163613E-3</v>
      </c>
      <c r="H5">
        <f ca="1">LN(Historical_Data!H6 / Historical_Data!H5)</f>
        <v>1.7421615942682562E-2</v>
      </c>
      <c r="I5">
        <f ca="1">LN(Historical_Data!I6 / Historical_Data!I5)</f>
        <v>-8.1781536141559835E-2</v>
      </c>
    </row>
    <row r="6" spans="1:9" x14ac:dyDescent="0.25">
      <c r="A6" vm="5">
        <f ca="1">Historical_Data!A7</f>
        <v>43617</v>
      </c>
      <c r="B6">
        <f ca="1">LN(Historical_Data!B7 / Historical_Data!B6)</f>
        <v>6.2420174836901002E-2</v>
      </c>
      <c r="C6">
        <f ca="1">LN(Historical_Data!C7 / Historical_Data!C6)</f>
        <v>3.6091580832304682E-2</v>
      </c>
      <c r="D6">
        <f ca="1">LN(Historical_Data!D7 / Historical_Data!D6)</f>
        <v>5.2631136488545692E-2</v>
      </c>
      <c r="E6">
        <f ca="1">LN(Historical_Data!E7 / Historical_Data!E6)</f>
        <v>8.5682598603816513E-3</v>
      </c>
      <c r="F6">
        <f>LN(Historical_Data!F7 / Historical_Data!F6)</f>
        <v>-1.8195607749510081E-3</v>
      </c>
      <c r="G6">
        <f ca="1">LN(Historical_Data!G7 / Historical_Data!G6)</f>
        <v>5.8523318103752883E-3</v>
      </c>
      <c r="H6">
        <f ca="1">LN(Historical_Data!H7 / Historical_Data!H6)</f>
        <v>7.6988068528391893E-2</v>
      </c>
      <c r="I6">
        <f ca="1">LN(Historical_Data!I7 / Historical_Data!I6)</f>
        <v>6.3998474063201666E-2</v>
      </c>
    </row>
    <row r="7" spans="1:9" x14ac:dyDescent="0.25">
      <c r="A7" vm="6">
        <f ca="1">Historical_Data!A8</f>
        <v>43647</v>
      </c>
      <c r="B7">
        <f ca="1">LN(Historical_Data!B8 / Historical_Data!B7)</f>
        <v>1.5006294164966173E-2</v>
      </c>
      <c r="C7">
        <f ca="1">LN(Historical_Data!C8 / Historical_Data!C7)</f>
        <v>-1.9665712890288494E-2</v>
      </c>
      <c r="D7">
        <f ca="1">LN(Historical_Data!D8 / Historical_Data!D7)</f>
        <v>-2.6926520494349248E-2</v>
      </c>
      <c r="E7">
        <f ca="1">LN(Historical_Data!E8 / Historical_Data!E7)</f>
        <v>-4.4913542187741324E-4</v>
      </c>
      <c r="F7">
        <f>LN(Historical_Data!F8 / Historical_Data!F7)</f>
        <v>5.310473136218791E-4</v>
      </c>
      <c r="G7">
        <f ca="1">LN(Historical_Data!G8 / Historical_Data!G7)</f>
        <v>1.6904367592093673E-2</v>
      </c>
      <c r="H7">
        <f ca="1">LN(Historical_Data!H8 / Historical_Data!H7)</f>
        <v>7.5072257082905855E-5</v>
      </c>
      <c r="I7">
        <f ca="1">LN(Historical_Data!I8 / Historical_Data!I7)</f>
        <v>6.7935914685319163E-3</v>
      </c>
    </row>
    <row r="8" spans="1:9" x14ac:dyDescent="0.25">
      <c r="A8" vm="7">
        <f ca="1">Historical_Data!A9</f>
        <v>43678</v>
      </c>
      <c r="B8">
        <f ca="1">LN(Historical_Data!B9 / Historical_Data!B8)</f>
        <v>-1.6885191292998765E-2</v>
      </c>
      <c r="C8">
        <f ca="1">LN(Historical_Data!C9 / Historical_Data!C8)</f>
        <v>-1.9427212900989053E-2</v>
      </c>
      <c r="D8">
        <f ca="1">LN(Historical_Data!D9 / Historical_Data!D8)</f>
        <v>-3.8560170047974372E-2</v>
      </c>
      <c r="E8">
        <f ca="1">LN(Historical_Data!E9 / Historical_Data!E8)</f>
        <v>2.5108891284009515E-2</v>
      </c>
      <c r="F8">
        <f>LN(Historical_Data!F9 / Historical_Data!F8)</f>
        <v>9.7892425726098561E-2</v>
      </c>
      <c r="G8">
        <f ca="1">LN(Historical_Data!G9 / Historical_Data!G8)</f>
        <v>3.677737652497598E-2</v>
      </c>
      <c r="H8">
        <f ca="1">LN(Historical_Data!H9 / Historical_Data!H8)</f>
        <v>7.6148849314088399E-2</v>
      </c>
      <c r="I8">
        <f ca="1">LN(Historical_Data!I9 / Historical_Data!I8)</f>
        <v>-5.0567419609399054E-2</v>
      </c>
    </row>
    <row r="9" spans="1:9" x14ac:dyDescent="0.25">
      <c r="A9" vm="8">
        <f ca="1">Historical_Data!A10</f>
        <v>43709</v>
      </c>
      <c r="B9">
        <f ca="1">LN(Historical_Data!B10 / Historical_Data!B9)</f>
        <v>1.4663716128332564E-2</v>
      </c>
      <c r="C9">
        <f ca="1">LN(Historical_Data!C10 / Historical_Data!C9)</f>
        <v>3.115031492090347E-2</v>
      </c>
      <c r="D9">
        <f ca="1">LN(Historical_Data!D10 / Historical_Data!D9)</f>
        <v>1.677808911507617E-2</v>
      </c>
      <c r="E9">
        <f ca="1">LN(Historical_Data!E10 / Historical_Data!E9)</f>
        <v>-8.4470365876583922E-3</v>
      </c>
      <c r="F9">
        <f>LN(Historical_Data!F10 / Historical_Data!F9)</f>
        <v>-4.6307175478683224E-2</v>
      </c>
      <c r="G9">
        <f ca="1">LN(Historical_Data!G10 / Historical_Data!G9)</f>
        <v>1.1107031745365422E-2</v>
      </c>
      <c r="H9">
        <f ca="1">LN(Historical_Data!H10 / Historical_Data!H9)</f>
        <v>-3.4537435966170899E-2</v>
      </c>
      <c r="I9">
        <f ca="1">LN(Historical_Data!I10 / Historical_Data!I9)</f>
        <v>1.6657057787953795E-2</v>
      </c>
    </row>
    <row r="10" spans="1:9" x14ac:dyDescent="0.25">
      <c r="A10" vm="9">
        <f ca="1">Historical_Data!A11</f>
        <v>43739</v>
      </c>
      <c r="B10">
        <f ca="1">LN(Historical_Data!B11 / Historical_Data!B10)</f>
        <v>2.1863893754050207E-2</v>
      </c>
      <c r="C10">
        <f ca="1">LN(Historical_Data!C11 / Historical_Data!C10)</f>
        <v>3.3328878400803882E-2</v>
      </c>
      <c r="D10">
        <f ca="1">LN(Historical_Data!D11 / Historical_Data!D10)</f>
        <v>4.098836188914743E-2</v>
      </c>
      <c r="E10">
        <f ca="1">LN(Historical_Data!E11 / Historical_Data!E10)</f>
        <v>-1.7674089830380316E-4</v>
      </c>
      <c r="F10">
        <f>LN(Historical_Data!F11 / Historical_Data!F10)</f>
        <v>-4.1865226442669382E-3</v>
      </c>
      <c r="G10">
        <f ca="1">LN(Historical_Data!G11 / Historical_Data!G10)</f>
        <v>1.1197131115486763E-2</v>
      </c>
      <c r="H10">
        <f ca="1">LN(Historical_Data!H11 / Historical_Data!H10)</f>
        <v>2.5312407235205885E-2</v>
      </c>
      <c r="I10">
        <f ca="1">LN(Historical_Data!I11 / Historical_Data!I10)</f>
        <v>2.679517523838712E-2</v>
      </c>
    </row>
    <row r="11" spans="1:9" x14ac:dyDescent="0.25">
      <c r="A11" vm="10">
        <f ca="1">Historical_Data!A12</f>
        <v>43770</v>
      </c>
      <c r="B11">
        <f ca="1">LN(Historical_Data!B12 / Historical_Data!B11)</f>
        <v>3.5558438261565947E-2</v>
      </c>
      <c r="C11">
        <f ca="1">LN(Historical_Data!C12 / Historical_Data!C11)</f>
        <v>1.1209556903842375E-2</v>
      </c>
      <c r="D11">
        <f ca="1">LN(Historical_Data!D12 / Historical_Data!D11)</f>
        <v>-9.3984969324227357E-4</v>
      </c>
      <c r="E11">
        <f ca="1">LN(Historical_Data!E12 / Historical_Data!E11)</f>
        <v>-2.5662595385524448E-3</v>
      </c>
      <c r="F11">
        <f>LN(Historical_Data!F12 / Historical_Data!F11)</f>
        <v>-5.5124532133017431E-3</v>
      </c>
      <c r="G11">
        <f ca="1">LN(Historical_Data!G12 / Historical_Data!G11)</f>
        <v>-1.3129291441792736E-2</v>
      </c>
      <c r="H11">
        <f ca="1">LN(Historical_Data!H12 / Historical_Data!H11)</f>
        <v>-3.2611973488988991E-2</v>
      </c>
      <c r="I11">
        <f ca="1">LN(Historical_Data!I12 / Historical_Data!I11)</f>
        <v>3.9851436836839942E-2</v>
      </c>
    </row>
    <row r="12" spans="1:9" x14ac:dyDescent="0.25">
      <c r="A12" vm="11">
        <f ca="1">Historical_Data!A13</f>
        <v>43800</v>
      </c>
      <c r="B12">
        <f ca="1">LN(Historical_Data!B13 / Historical_Data!B12)</f>
        <v>2.3736908357365662E-2</v>
      </c>
      <c r="C12">
        <f ca="1">LN(Historical_Data!C13 / Historical_Data!C12)</f>
        <v>1.8311803642337473E-2</v>
      </c>
      <c r="D12">
        <f ca="1">LN(Historical_Data!D13 / Historical_Data!D12)</f>
        <v>5.3324610215800872E-2</v>
      </c>
      <c r="E12">
        <f ca="1">LN(Historical_Data!E13 / Historical_Data!E12)</f>
        <v>-4.3511146211829225E-3</v>
      </c>
      <c r="F12">
        <f>LN(Historical_Data!F13 / Historical_Data!F12)</f>
        <v>-1.2957247273113023E-2</v>
      </c>
      <c r="G12">
        <f ca="1">LN(Historical_Data!G13 / Historical_Data!G12)</f>
        <v>-3.0130228325310204E-3</v>
      </c>
      <c r="H12">
        <f ca="1">LN(Historical_Data!H13 / Historical_Data!H12)</f>
        <v>3.5906407478315999E-2</v>
      </c>
      <c r="I12">
        <f ca="1">LN(Historical_Data!I13 / Historical_Data!I12)</f>
        <v>2.3822284608843232E-2</v>
      </c>
    </row>
    <row r="13" spans="1:9" x14ac:dyDescent="0.25">
      <c r="A13" vm="12">
        <f ca="1">Historical_Data!A14</f>
        <v>43831</v>
      </c>
      <c r="B13">
        <f ca="1">LN(Historical_Data!B14 / Historical_Data!B13)</f>
        <v>-4.0398390828949506E-4</v>
      </c>
      <c r="C13">
        <f ca="1">LN(Historical_Data!C14 / Historical_Data!C13)</f>
        <v>-2.8631812674327038E-2</v>
      </c>
      <c r="D13">
        <f ca="1">LN(Historical_Data!D14 / Historical_Data!D13)</f>
        <v>-6.3484177814055534E-2</v>
      </c>
      <c r="E13">
        <f ca="1">LN(Historical_Data!E14 / Historical_Data!E13)</f>
        <v>2.0087011384102502E-2</v>
      </c>
      <c r="F13">
        <f>LN(Historical_Data!F14 / Historical_Data!F13)</f>
        <v>6.558792611084692E-2</v>
      </c>
      <c r="G13">
        <f ca="1">LN(Historical_Data!G14 / Historical_Data!G13)</f>
        <v>1.2210948641336143E-2</v>
      </c>
      <c r="H13">
        <f ca="1">LN(Historical_Data!H14 / Historical_Data!H13)</f>
        <v>4.401353713335554E-2</v>
      </c>
      <c r="I13">
        <f ca="1">LN(Historical_Data!I14 / Historical_Data!I13)</f>
        <v>-3.1517016959122991E-2</v>
      </c>
    </row>
    <row r="14" spans="1:9" x14ac:dyDescent="0.25">
      <c r="A14" vm="13">
        <f ca="1">Historical_Data!A15</f>
        <v>43862</v>
      </c>
      <c r="B14">
        <f ca="1">LN(Historical_Data!B15 / Historical_Data!B14)</f>
        <v>-8.247523732815322E-2</v>
      </c>
      <c r="C14">
        <f ca="1">LN(Historical_Data!C15 / Historical_Data!C14)</f>
        <v>-8.0833377807631446E-2</v>
      </c>
      <c r="D14">
        <f ca="1">LN(Historical_Data!D15 / Historical_Data!D14)</f>
        <v>-3.8489562793353652E-2</v>
      </c>
      <c r="E14">
        <f ca="1">LN(Historical_Data!E15 / Historical_Data!E14)</f>
        <v>1.3600937343046061E-2</v>
      </c>
      <c r="F14">
        <f>LN(Historical_Data!F15 / Historical_Data!F14)</f>
        <v>6.3947503297082028E-2</v>
      </c>
      <c r="G14">
        <f ca="1">LN(Historical_Data!G15 / Historical_Data!G14)</f>
        <v>-7.2855777580782516E-2</v>
      </c>
      <c r="H14">
        <f ca="1">LN(Historical_Data!H15 / Historical_Data!H14)</f>
        <v>-6.3820713077974798E-3</v>
      </c>
      <c r="I14">
        <f ca="1">LN(Historical_Data!I15 / Historical_Data!I14)</f>
        <v>-9.2616495886987796E-2</v>
      </c>
    </row>
    <row r="15" spans="1:9" x14ac:dyDescent="0.25">
      <c r="A15" vm="14">
        <f ca="1">Historical_Data!A16</f>
        <v>43891</v>
      </c>
      <c r="B15">
        <f ca="1">LN(Historical_Data!B16 / Historical_Data!B15)</f>
        <v>-0.13924732425683675</v>
      </c>
      <c r="C15">
        <f ca="1">LN(Historical_Data!C16 / Historical_Data!C15)</f>
        <v>-0.15206416915936324</v>
      </c>
      <c r="D15">
        <f ca="1">LN(Historical_Data!D16 / Historical_Data!D15)</f>
        <v>-0.17161891646186697</v>
      </c>
      <c r="E15">
        <f ca="1">LN(Historical_Data!E16 / Historical_Data!E15)</f>
        <v>-7.3405917077611019E-3</v>
      </c>
      <c r="F15">
        <f>LN(Historical_Data!F16 / Historical_Data!F15)</f>
        <v>6.4056982470626134E-2</v>
      </c>
      <c r="G15">
        <f ca="1">LN(Historical_Data!G16 / Historical_Data!G15)</f>
        <v>-0.22334396072267085</v>
      </c>
      <c r="H15">
        <f ca="1">LN(Historical_Data!H16 / Historical_Data!H15)</f>
        <v>-2.2264962137794183E-3</v>
      </c>
      <c r="I15">
        <f ca="1">LN(Historical_Data!I16 / Historical_Data!I15)</f>
        <v>-0.24563892812337912</v>
      </c>
    </row>
    <row r="16" spans="1:9" x14ac:dyDescent="0.25">
      <c r="A16" vm="15">
        <f ca="1">Historical_Data!A17</f>
        <v>43922</v>
      </c>
      <c r="B16">
        <f ca="1">LN(Historical_Data!B17 / Historical_Data!B16)</f>
        <v>0.11954460420901107</v>
      </c>
      <c r="C16">
        <f ca="1">LN(Historical_Data!C17 / Historical_Data!C16)</f>
        <v>5.6545098644291296E-2</v>
      </c>
      <c r="D16">
        <f ca="1">LN(Historical_Data!D17 / Historical_Data!D16)</f>
        <v>7.0963776887313756E-2</v>
      </c>
      <c r="E16">
        <f ca="1">LN(Historical_Data!E17 / Historical_Data!E16)</f>
        <v>1.4883915664473172E-2</v>
      </c>
      <c r="F16">
        <f>LN(Historical_Data!F17 / Historical_Data!F16)</f>
        <v>-1.6405897649068287E-3</v>
      </c>
      <c r="G16">
        <f ca="1">LN(Historical_Data!G17 / Historical_Data!G16)</f>
        <v>8.5829576576329364E-2</v>
      </c>
      <c r="H16">
        <f ca="1">LN(Historical_Data!H17 / Historical_Data!H16)</f>
        <v>7.0095494265435085E-2</v>
      </c>
      <c r="I16">
        <f ca="1">LN(Historical_Data!I17 / Historical_Data!I16)</f>
        <v>0.1296908101758584</v>
      </c>
    </row>
    <row r="17" spans="1:9" x14ac:dyDescent="0.25">
      <c r="A17" vm="16">
        <f ca="1">Historical_Data!A18</f>
        <v>43952</v>
      </c>
      <c r="B17">
        <f ca="1">LN(Historical_Data!B18 / Historical_Data!B17)</f>
        <v>4.6545052250944983E-2</v>
      </c>
      <c r="C17">
        <f ca="1">LN(Historical_Data!C18 / Historical_Data!C17)</f>
        <v>5.284768054147327E-2</v>
      </c>
      <c r="D17">
        <f ca="1">LN(Historical_Data!D18 / Historical_Data!D17)</f>
        <v>2.9314994170289446E-2</v>
      </c>
      <c r="E17">
        <f ca="1">LN(Historical_Data!E18 / Historical_Data!E17)</f>
        <v>4.6858445696999563E-3</v>
      </c>
      <c r="F17">
        <f>LN(Historical_Data!F18 / Historical_Data!F17)</f>
        <v>-1.6432006757516451E-2</v>
      </c>
      <c r="G17">
        <f ca="1">LN(Historical_Data!G18 / Historical_Data!G17)</f>
        <v>1.7194640119332007E-2</v>
      </c>
      <c r="H17">
        <f ca="1">LN(Historical_Data!H18 / Historical_Data!H17)</f>
        <v>2.5552352265042474E-2</v>
      </c>
      <c r="I17">
        <f ca="1">LN(Historical_Data!I18 / Historical_Data!I17)</f>
        <v>6.383802260348348E-2</v>
      </c>
    </row>
    <row r="18" spans="1:9" x14ac:dyDescent="0.25">
      <c r="A18" vm="17">
        <f ca="1">Historical_Data!A19</f>
        <v>43983</v>
      </c>
      <c r="B18">
        <f ca="1">LN(Historical_Data!B19 / Historical_Data!B18)</f>
        <v>1.3188152234035983E-2</v>
      </c>
      <c r="C18">
        <f ca="1">LN(Historical_Data!C19 / Historical_Data!C18)</f>
        <v>2.041395260929545E-2</v>
      </c>
      <c r="D18">
        <f ca="1">LN(Historical_Data!D19 / Historical_Data!D18)</f>
        <v>5.8173888882508018E-2</v>
      </c>
      <c r="E18">
        <f ca="1">LN(Historical_Data!E19 / Historical_Data!E18)</f>
        <v>4.7485885889139174E-3</v>
      </c>
      <c r="F18">
        <f>LN(Historical_Data!F19 / Historical_Data!F18)</f>
        <v>-8.4430598397470281E-3</v>
      </c>
      <c r="G18">
        <f ca="1">LN(Historical_Data!G19 / Historical_Data!G18)</f>
        <v>1.4106414988150906E-2</v>
      </c>
      <c r="H18">
        <f ca="1">LN(Historical_Data!H19 / Historical_Data!H18)</f>
        <v>2.7009029447468684E-2</v>
      </c>
      <c r="I18">
        <f ca="1">LN(Historical_Data!I19 / Historical_Data!I18)</f>
        <v>3.0348330207740977E-2</v>
      </c>
    </row>
    <row r="19" spans="1:9" x14ac:dyDescent="0.25">
      <c r="A19" vm="18">
        <f ca="1">Historical_Data!A20</f>
        <v>44013</v>
      </c>
      <c r="B19">
        <f ca="1">LN(Historical_Data!B20 / Historical_Data!B19)</f>
        <v>5.7223270992093615E-2</v>
      </c>
      <c r="C19">
        <f ca="1">LN(Historical_Data!C20 / Historical_Data!C19)</f>
        <v>1.9200069144783151E-2</v>
      </c>
      <c r="D19">
        <f ca="1">LN(Historical_Data!D20 / Historical_Data!D19)</f>
        <v>7.9292238595162226E-2</v>
      </c>
      <c r="E19">
        <f ca="1">LN(Historical_Data!E20 / Historical_Data!E19)</f>
        <v>1.135563365345151E-2</v>
      </c>
      <c r="F19">
        <f>LN(Historical_Data!F20 / Historical_Data!F19)</f>
        <v>5.3469851648121174E-2</v>
      </c>
      <c r="G19">
        <f ca="1">LN(Historical_Data!G20 / Historical_Data!G19)</f>
        <v>3.5771697952166781E-2</v>
      </c>
      <c r="H19">
        <f ca="1">LN(Historical_Data!H20 / Historical_Data!H19)</f>
        <v>0.10247052181374505</v>
      </c>
      <c r="I19">
        <f ca="1">LN(Historical_Data!I20 / Historical_Data!I19)</f>
        <v>2.8775992538957879E-2</v>
      </c>
    </row>
    <row r="20" spans="1:9" x14ac:dyDescent="0.25">
      <c r="A20" vm="19">
        <f ca="1">Historical_Data!A21</f>
        <v>44044</v>
      </c>
      <c r="B20">
        <f ca="1">LN(Historical_Data!B21 / Historical_Data!B20)</f>
        <v>6.7468577505781446E-2</v>
      </c>
      <c r="C20">
        <f ca="1">LN(Historical_Data!C21 / Historical_Data!C20)</f>
        <v>4.6139018590338123E-2</v>
      </c>
      <c r="D20">
        <f ca="1">LN(Historical_Data!D21 / Historical_Data!D20)</f>
        <v>2.8466000375332295E-2</v>
      </c>
      <c r="E20">
        <f ca="1">LN(Historical_Data!E21 / Historical_Data!E20)</f>
        <v>-1.0003025449934829E-2</v>
      </c>
      <c r="F20">
        <f>LN(Historical_Data!F21 / Historical_Data!F20)</f>
        <v>-5.6091739659859599E-2</v>
      </c>
      <c r="G20">
        <f ca="1">LN(Historical_Data!G21 / Historical_Data!G20)</f>
        <v>4.4133944384127577E-3</v>
      </c>
      <c r="H20">
        <f ca="1">LN(Historical_Data!H21 / Historical_Data!H20)</f>
        <v>-3.2409686447026293E-3</v>
      </c>
      <c r="I20">
        <f ca="1">LN(Historical_Data!I21 / Historical_Data!I20)</f>
        <v>5.3316896987809954E-2</v>
      </c>
    </row>
    <row r="21" spans="1:9" x14ac:dyDescent="0.25">
      <c r="A21" vm="20">
        <f ca="1">Historical_Data!A22</f>
        <v>44075</v>
      </c>
      <c r="B21">
        <f ca="1">LN(Historical_Data!B22 / Historical_Data!B21)</f>
        <v>-4.2157660394186162E-2</v>
      </c>
      <c r="C21">
        <f ca="1">LN(Historical_Data!C22 / Historical_Data!C21)</f>
        <v>-2.0680205237538746E-2</v>
      </c>
      <c r="D21">
        <f ca="1">LN(Historical_Data!D22 / Historical_Data!D21)</f>
        <v>-1.015466245937526E-2</v>
      </c>
      <c r="E21">
        <f ca="1">LN(Historical_Data!E22 / Historical_Data!E21)</f>
        <v>-2.6223421532589083E-3</v>
      </c>
      <c r="F21">
        <f>LN(Historical_Data!F22 / Historical_Data!F21)</f>
        <v>1.6982124879574116E-2</v>
      </c>
      <c r="G21">
        <f ca="1">LN(Historical_Data!G22 / Historical_Data!G21)</f>
        <v>-3.4724414652136756E-2</v>
      </c>
      <c r="H21">
        <f ca="1">LN(Historical_Data!H22 / Historical_Data!H21)</f>
        <v>-4.2609014734262353E-2</v>
      </c>
      <c r="I21">
        <f ca="1">LN(Historical_Data!I22 / Historical_Data!I21)</f>
        <v>-3.696115631417915E-2</v>
      </c>
    </row>
    <row r="22" spans="1:9" x14ac:dyDescent="0.25">
      <c r="A22" vm="21">
        <f ca="1">Historical_Data!A23</f>
        <v>44105</v>
      </c>
      <c r="B22">
        <f ca="1">LN(Historical_Data!B23 / Historical_Data!B22)</f>
        <v>-2.5249666996732069E-2</v>
      </c>
      <c r="C22">
        <f ca="1">LN(Historical_Data!C23 / Historical_Data!C22)</f>
        <v>-3.615236956401055E-2</v>
      </c>
      <c r="D22">
        <f ca="1">LN(Historical_Data!D23 / Historical_Data!D22)</f>
        <v>1.3964190876043029E-2</v>
      </c>
      <c r="E22">
        <f ca="1">LN(Historical_Data!E23 / Historical_Data!E22)</f>
        <v>-7.3110926696310728E-3</v>
      </c>
      <c r="F22">
        <f>LN(Historical_Data!F23 / Historical_Data!F22)</f>
        <v>-3.5403034353521261E-2</v>
      </c>
      <c r="G22">
        <f ca="1">LN(Historical_Data!G23 / Historical_Data!G22)</f>
        <v>-3.0474875203723814E-2</v>
      </c>
      <c r="H22">
        <f ca="1">LN(Historical_Data!H23 / Historical_Data!H22)</f>
        <v>-5.2077554582476886E-3</v>
      </c>
      <c r="I22">
        <f ca="1">LN(Historical_Data!I23 / Historical_Data!I22)</f>
        <v>2.1791670563362318E-2</v>
      </c>
    </row>
    <row r="23" spans="1:9" x14ac:dyDescent="0.25">
      <c r="A23" vm="22">
        <f ca="1">Historical_Data!A24</f>
        <v>44136</v>
      </c>
      <c r="B23">
        <f ca="1">LN(Historical_Data!B24 / Historical_Data!B23)</f>
        <v>0.10325749124977932</v>
      </c>
      <c r="C23">
        <f ca="1">LN(Historical_Data!C24 / Historical_Data!C23)</f>
        <v>0.13338885110906501</v>
      </c>
      <c r="D23">
        <f ca="1">LN(Historical_Data!D24 / Historical_Data!D23)</f>
        <v>8.6097666609525544E-2</v>
      </c>
      <c r="E23">
        <f ca="1">LN(Historical_Data!E24 / Historical_Data!E23)</f>
        <v>1.0355749960717852E-2</v>
      </c>
      <c r="F23">
        <f>LN(Historical_Data!F24 / Historical_Data!F23)</f>
        <v>1.120654990033524E-2</v>
      </c>
      <c r="G23">
        <f ca="1">LN(Historical_Data!G24 / Historical_Data!G23)</f>
        <v>9.2350278921811441E-2</v>
      </c>
      <c r="H23">
        <f ca="1">LN(Historical_Data!H24 / Historical_Data!H23)</f>
        <v>-5.5603903947994429E-2</v>
      </c>
      <c r="I23">
        <f ca="1">LN(Historical_Data!I24 / Historical_Data!I23)</f>
        <v>0.16758153865503497</v>
      </c>
    </row>
    <row r="24" spans="1:9" x14ac:dyDescent="0.25">
      <c r="A24" vm="23">
        <f ca="1">Historical_Data!A25</f>
        <v>44166</v>
      </c>
      <c r="B24">
        <f ca="1">LN(Historical_Data!B25 / Historical_Data!B24)</f>
        <v>3.2124946366584785E-2</v>
      </c>
      <c r="C24">
        <f ca="1">LN(Historical_Data!C25 / Historical_Data!C24)</f>
        <v>3.9275539217605758E-2</v>
      </c>
      <c r="D24">
        <f ca="1">LN(Historical_Data!D25 / Historical_Data!D24)</f>
        <v>5.8582485443678479E-2</v>
      </c>
      <c r="E24">
        <f ca="1">LN(Historical_Data!E25 / Historical_Data!E24)</f>
        <v>-1.9441280794808599E-3</v>
      </c>
      <c r="F24">
        <f>LN(Historical_Data!F25 / Historical_Data!F24)</f>
        <v>-6.9497373476811262E-3</v>
      </c>
      <c r="G24">
        <f ca="1">LN(Historical_Data!G25 / Historical_Data!G24)</f>
        <v>1.1010588948604358E-2</v>
      </c>
      <c r="H24">
        <f ca="1">LN(Historical_Data!H25 / Historical_Data!H24)</f>
        <v>6.7788170205191442E-2</v>
      </c>
      <c r="I24">
        <f ca="1">LN(Historical_Data!I25 / Historical_Data!I24)</f>
        <v>7.9813212434555261E-2</v>
      </c>
    </row>
    <row r="25" spans="1:9" x14ac:dyDescent="0.25">
      <c r="A25" vm="24">
        <f ca="1">Historical_Data!A26</f>
        <v>44197</v>
      </c>
      <c r="B25">
        <f ca="1">LN(Historical_Data!B26 / Historical_Data!B25)</f>
        <v>-1.0242713380941133E-2</v>
      </c>
      <c r="C25">
        <f ca="1">LN(Historical_Data!C26 / Historical_Data!C25)</f>
        <v>-7.8431774610257816E-3</v>
      </c>
      <c r="D25">
        <f ca="1">LN(Historical_Data!D26 / Historical_Data!D25)</f>
        <v>3.1246588535576405E-2</v>
      </c>
      <c r="E25">
        <f ca="1">LN(Historical_Data!E26 / Historical_Data!E25)</f>
        <v>-7.4734955065202521E-3</v>
      </c>
      <c r="F25">
        <f>LN(Historical_Data!F26 / Historical_Data!F25)</f>
        <v>-4.8184882354247775E-2</v>
      </c>
      <c r="G25">
        <f ca="1">LN(Historical_Data!G26 / Historical_Data!G25)</f>
        <v>3.5316970171055036E-4</v>
      </c>
      <c r="H25">
        <f ca="1">LN(Historical_Data!H26 / Historical_Data!H25)</f>
        <v>-3.2769265360678014E-2</v>
      </c>
      <c r="I25">
        <f ca="1">LN(Historical_Data!I26 / Historical_Data!I25)</f>
        <v>4.7317227290448842E-2</v>
      </c>
    </row>
    <row r="26" spans="1:9" x14ac:dyDescent="0.25">
      <c r="A26" vm="25">
        <f ca="1">Historical_Data!A27</f>
        <v>44228</v>
      </c>
      <c r="B26">
        <f ca="1">LN(Historical_Data!B27 / Historical_Data!B26)</f>
        <v>2.7425995737802002E-2</v>
      </c>
      <c r="C26">
        <f ca="1">LN(Historical_Data!C27 / Historical_Data!C26)</f>
        <v>2.2132050904325053E-2</v>
      </c>
      <c r="D26">
        <f ca="1">LN(Historical_Data!D27 / Historical_Data!D26)</f>
        <v>7.8475739060602599E-3</v>
      </c>
      <c r="E26">
        <f ca="1">LN(Historical_Data!E27 / Historical_Data!E26)</f>
        <v>-1.6935715330362398E-2</v>
      </c>
      <c r="F26">
        <f>LN(Historical_Data!F27 / Historical_Data!F26)</f>
        <v>-7.2844716109926239E-2</v>
      </c>
      <c r="G26">
        <f ca="1">LN(Historical_Data!G27 / Historical_Data!G26)</f>
        <v>3.3677892014123245E-2</v>
      </c>
      <c r="H26">
        <f ca="1">LN(Historical_Data!H27 / Historical_Data!H26)</f>
        <v>-6.4611906986881185E-2</v>
      </c>
      <c r="I26">
        <f ca="1">LN(Historical_Data!I27 / Historical_Data!I26)</f>
        <v>6.0178108903075934E-2</v>
      </c>
    </row>
    <row r="27" spans="1:9" x14ac:dyDescent="0.25">
      <c r="A27" vm="26">
        <f ca="1">Historical_Data!A28</f>
        <v>44256</v>
      </c>
      <c r="B27">
        <f ca="1">LN(Historical_Data!B28 / Historical_Data!B27)</f>
        <v>4.1129024887128794E-2</v>
      </c>
      <c r="C27">
        <f ca="1">LN(Historical_Data!C28 / Historical_Data!C27)</f>
        <v>2.4821130140608473E-2</v>
      </c>
      <c r="D27">
        <f ca="1">LN(Historical_Data!D28 / Historical_Data!D27)</f>
        <v>-7.2849859868617485E-3</v>
      </c>
      <c r="E27">
        <f ca="1">LN(Historical_Data!E28 / Historical_Data!E27)</f>
        <v>-1.3178180850141353E-2</v>
      </c>
      <c r="F27">
        <f>LN(Historical_Data!F28 / Historical_Data!F27)</f>
        <v>-2.5657299575958192E-2</v>
      </c>
      <c r="G27">
        <f ca="1">LN(Historical_Data!G28 / Historical_Data!G27)</f>
        <v>4.4407229389895442E-2</v>
      </c>
      <c r="H27">
        <f ca="1">LN(Historical_Data!H28 / Historical_Data!H27)</f>
        <v>-1.1499023433099E-2</v>
      </c>
      <c r="I27">
        <f ca="1">LN(Historical_Data!I28 / Historical_Data!I27)</f>
        <v>1.1975100417024227E-2</v>
      </c>
    </row>
    <row r="28" spans="1:9" x14ac:dyDescent="0.25">
      <c r="A28" vm="27">
        <f ca="1">Historical_Data!A29</f>
        <v>44287</v>
      </c>
      <c r="B28">
        <f ca="1">LN(Historical_Data!B29 / Historical_Data!B28)</f>
        <v>5.1558190039134505E-2</v>
      </c>
      <c r="C28">
        <f ca="1">LN(Historical_Data!C29 / Historical_Data!C28)</f>
        <v>2.9096740272222393E-2</v>
      </c>
      <c r="D28">
        <f ca="1">LN(Historical_Data!D29 / Historical_Data!D28)</f>
        <v>1.1927088835990323E-2</v>
      </c>
      <c r="E28">
        <f ca="1">LN(Historical_Data!E29 / Historical_Data!E28)</f>
        <v>5.7813755985956766E-3</v>
      </c>
      <c r="F28">
        <f>LN(Historical_Data!F29 / Historical_Data!F28)</f>
        <v>1.7682832948100212E-2</v>
      </c>
      <c r="G28">
        <f ca="1">LN(Historical_Data!G29 / Historical_Data!G28)</f>
        <v>7.5661925723511395E-2</v>
      </c>
      <c r="H28">
        <f ca="1">LN(Historical_Data!H29 / Historical_Data!H28)</f>
        <v>3.5013711191500291E-2</v>
      </c>
      <c r="I28">
        <f ca="1">LN(Historical_Data!I29 / Historical_Data!I28)</f>
        <v>1.7720222326264919E-2</v>
      </c>
    </row>
    <row r="29" spans="1:9" x14ac:dyDescent="0.25">
      <c r="A29" vm="28">
        <f ca="1">Historical_Data!A30</f>
        <v>44317</v>
      </c>
      <c r="B29">
        <f ca="1">LN(Historical_Data!B30 / Historical_Data!B29)</f>
        <v>6.5445572402857179E-3</v>
      </c>
      <c r="C29">
        <f ca="1">LN(Historical_Data!C30 / Historical_Data!C29)</f>
        <v>3.423009412354705E-2</v>
      </c>
      <c r="D29">
        <f ca="1">LN(Historical_Data!D30 / Historical_Data!D29)</f>
        <v>1.6353143481025456E-2</v>
      </c>
      <c r="E29">
        <f ca="1">LN(Historical_Data!E30 / Historical_Data!E29)</f>
        <v>5.2392596378347887E-4</v>
      </c>
      <c r="F29">
        <f>LN(Historical_Data!F30 / Historical_Data!F29)</f>
        <v>1.5814848915031057E-2</v>
      </c>
      <c r="G29">
        <f ca="1">LN(Historical_Data!G30 / Historical_Data!G29)</f>
        <v>8.0418607904135693E-3</v>
      </c>
      <c r="H29">
        <f ca="1">LN(Historical_Data!H30 / Historical_Data!H29)</f>
        <v>7.3978611067943192E-2</v>
      </c>
      <c r="I29">
        <f ca="1">LN(Historical_Data!I30 / Historical_Data!I29)</f>
        <v>2.7087651723391561E-3</v>
      </c>
    </row>
    <row r="30" spans="1:9" x14ac:dyDescent="0.25">
      <c r="A30" vm="29">
        <f ca="1">Historical_Data!A31</f>
        <v>44348</v>
      </c>
      <c r="B30">
        <f ca="1">LN(Historical_Data!B31 / Historical_Data!B30)</f>
        <v>1.8913427834624498E-2</v>
      </c>
      <c r="C30">
        <f ca="1">LN(Historical_Data!C31 / Historical_Data!C30)</f>
        <v>-2.44204734513731E-2</v>
      </c>
      <c r="D30">
        <f ca="1">LN(Historical_Data!D31 / Historical_Data!D30)</f>
        <v>5.0899946286273893E-3</v>
      </c>
      <c r="E30">
        <f ca="1">LN(Historical_Data!E31 / Historical_Data!E30)</f>
        <v>6.7861753383428088E-3</v>
      </c>
      <c r="F30">
        <f>LN(Historical_Data!F31 / Historical_Data!F30)</f>
        <v>2.6275815402282646E-2</v>
      </c>
      <c r="G30">
        <f ca="1">LN(Historical_Data!G31 / Historical_Data!G30)</f>
        <v>1.894240205267601E-2</v>
      </c>
      <c r="H30">
        <f ca="1">LN(Historical_Data!H31 / Historical_Data!H30)</f>
        <v>-7.4159721273998447E-2</v>
      </c>
      <c r="I30">
        <f ca="1">LN(Historical_Data!I31 / Historical_Data!I30)</f>
        <v>1.7016261263391185E-2</v>
      </c>
    </row>
    <row r="31" spans="1:9" x14ac:dyDescent="0.25">
      <c r="A31" vm="30">
        <f ca="1">Historical_Data!A32</f>
        <v>44378</v>
      </c>
      <c r="B31">
        <f ca="1">LN(Historical_Data!B32 / Historical_Data!B31)</f>
        <v>2.4119243896893915E-2</v>
      </c>
      <c r="C31">
        <f ca="1">LN(Historical_Data!C32 / Historical_Data!C31)</f>
        <v>7.7035172906411986E-3</v>
      </c>
      <c r="D31">
        <f ca="1">LN(Historical_Data!D32 / Historical_Data!D31)</f>
        <v>-6.6535073211994339E-2</v>
      </c>
      <c r="E31">
        <f ca="1">LN(Historical_Data!E32 / Historical_Data!E31)</f>
        <v>9.7502821711265425E-3</v>
      </c>
      <c r="F31">
        <f>LN(Historical_Data!F32 / Historical_Data!F31)</f>
        <v>2.9169302609331118E-2</v>
      </c>
      <c r="G31">
        <f ca="1">LN(Historical_Data!G32 / Historical_Data!G31)</f>
        <v>4.3259340081241764E-2</v>
      </c>
      <c r="H31">
        <f ca="1">LN(Historical_Data!H32 / Historical_Data!H31)</f>
        <v>2.4982667607154504E-2</v>
      </c>
      <c r="I31">
        <f ca="1">LN(Historical_Data!I32 / Historical_Data!I31)</f>
        <v>-3.6947499933871995E-2</v>
      </c>
    </row>
    <row r="32" spans="1:9" x14ac:dyDescent="0.25">
      <c r="A32" vm="31">
        <f ca="1">Historical_Data!A33</f>
        <v>44409</v>
      </c>
      <c r="B32">
        <f ca="1">LN(Historical_Data!B33 / Historical_Data!B32)</f>
        <v>2.9325637824035283E-2</v>
      </c>
      <c r="C32">
        <f ca="1">LN(Historical_Data!C33 / Historical_Data!C32)</f>
        <v>1.4363576738037226E-2</v>
      </c>
      <c r="D32">
        <f ca="1">LN(Historical_Data!D33 / Historical_Data!D32)</f>
        <v>1.5575740326557778E-2</v>
      </c>
      <c r="E32">
        <f ca="1">LN(Historical_Data!E33 / Historical_Data!E32)</f>
        <v>-3.4405676465115577E-3</v>
      </c>
      <c r="F32">
        <f>LN(Historical_Data!F33 / Historical_Data!F32)</f>
        <v>-3.7010909984741443E-3</v>
      </c>
      <c r="G32">
        <f ca="1">LN(Historical_Data!G33 / Historical_Data!G32)</f>
        <v>2.131602093181461E-2</v>
      </c>
      <c r="H32">
        <f ca="1">LN(Historical_Data!H33 / Historical_Data!H32)</f>
        <v>-7.658095864825986E-4</v>
      </c>
      <c r="I32">
        <f ca="1">LN(Historical_Data!I33 / Historical_Data!I32)</f>
        <v>2.1792034032624866E-2</v>
      </c>
    </row>
    <row r="33" spans="1:9" x14ac:dyDescent="0.25">
      <c r="A33" vm="32">
        <f ca="1">Historical_Data!A34</f>
        <v>44440</v>
      </c>
      <c r="B33">
        <f ca="1">LN(Historical_Data!B34 / Historical_Data!B33)</f>
        <v>-5.0925048376411222E-2</v>
      </c>
      <c r="C33">
        <f ca="1">LN(Historical_Data!C34 / Historical_Data!C33)</f>
        <v>-3.3157780722836629E-2</v>
      </c>
      <c r="D33">
        <f ca="1">LN(Historical_Data!D34 / Historical_Data!D33)</f>
        <v>-3.9503141889610696E-2</v>
      </c>
      <c r="E33">
        <f ca="1">LN(Historical_Data!E34 / Historical_Data!E33)</f>
        <v>-1.0654524974364272E-2</v>
      </c>
      <c r="F33">
        <f>LN(Historical_Data!F34 / Historical_Data!F33)</f>
        <v>-3.5546489791397053E-2</v>
      </c>
      <c r="G33">
        <f ca="1">LN(Historical_Data!G34 / Historical_Data!G33)</f>
        <v>-6.4673607316618434E-2</v>
      </c>
      <c r="H33">
        <f ca="1">LN(Historical_Data!H34 / Historical_Data!H33)</f>
        <v>-3.2766250704092038E-2</v>
      </c>
      <c r="I33">
        <f ca="1">LN(Historical_Data!I34 / Historical_Data!I33)</f>
        <v>-3.2251429067153357E-2</v>
      </c>
    </row>
    <row r="34" spans="1:9" x14ac:dyDescent="0.25">
      <c r="A34" vm="33">
        <f ca="1">Historical_Data!A35</f>
        <v>44470</v>
      </c>
      <c r="B34">
        <f ca="1">LN(Historical_Data!B35 / Historical_Data!B34)</f>
        <v>6.7811518078300104E-2</v>
      </c>
      <c r="C34">
        <f ca="1">LN(Historical_Data!C35 / Historical_Data!C34)</f>
        <v>3.1295929505420497E-2</v>
      </c>
      <c r="D34">
        <f ca="1">LN(Historical_Data!D35 / Historical_Data!D34)</f>
        <v>1.0661502764741671E-2</v>
      </c>
      <c r="E34">
        <f ca="1">LN(Historical_Data!E35 / Historical_Data!E34)</f>
        <v>-1.6559902681815369E-3</v>
      </c>
      <c r="F34">
        <f>LN(Historical_Data!F35 / Historical_Data!F34)</f>
        <v>3.372456547082818E-2</v>
      </c>
      <c r="G34">
        <f ca="1">LN(Historical_Data!G35 / Historical_Data!G34)</f>
        <v>6.8901166227590599E-2</v>
      </c>
      <c r="H34">
        <f ca="1">LN(Historical_Data!H35 / Historical_Data!H34)</f>
        <v>1.4688812473106008E-2</v>
      </c>
      <c r="I34">
        <f ca="1">LN(Historical_Data!I35 / Historical_Data!I34)</f>
        <v>4.1635377919985644E-2</v>
      </c>
    </row>
    <row r="35" spans="1:9" x14ac:dyDescent="0.25">
      <c r="A35" vm="34">
        <f ca="1">Historical_Data!A36</f>
        <v>44501</v>
      </c>
      <c r="B35">
        <f ca="1">LN(Historical_Data!B36 / Historical_Data!B35)</f>
        <v>-8.067292689084694E-3</v>
      </c>
      <c r="C35">
        <f ca="1">LN(Historical_Data!C36 / Historical_Data!C35)</f>
        <v>-4.6407615205286475E-2</v>
      </c>
      <c r="D35">
        <f ca="1">LN(Historical_Data!D36 / Historical_Data!D35)</f>
        <v>-4.1706124446701839E-2</v>
      </c>
      <c r="E35">
        <f ca="1">LN(Historical_Data!E36 / Historical_Data!E35)</f>
        <v>1.1333421726605153E-3</v>
      </c>
      <c r="F35">
        <f>LN(Historical_Data!F36 / Historical_Data!F35)</f>
        <v>2.6328711140975646E-2</v>
      </c>
      <c r="G35">
        <f ca="1">LN(Historical_Data!G36 / Historical_Data!G35)</f>
        <v>-2.1318816482478554E-2</v>
      </c>
      <c r="H35">
        <f ca="1">LN(Historical_Data!H36 / Historical_Data!H35)</f>
        <v>-6.9246099366311554E-3</v>
      </c>
      <c r="I35">
        <f ca="1">LN(Historical_Data!I36 / Historical_Data!I35)</f>
        <v>-4.4290327753776691E-2</v>
      </c>
    </row>
    <row r="36" spans="1:9" x14ac:dyDescent="0.25">
      <c r="A36" vm="35">
        <f ca="1">Historical_Data!A37</f>
        <v>44531</v>
      </c>
      <c r="B36">
        <f ca="1">LN(Historical_Data!B37 / Historical_Data!B36)</f>
        <v>4.1703158556269583E-2</v>
      </c>
      <c r="C36">
        <f ca="1">LN(Historical_Data!C37 / Historical_Data!C36)</f>
        <v>2.3663655620502395E-2</v>
      </c>
      <c r="D36">
        <f ca="1">LN(Historical_Data!D37 / Historical_Data!D36)</f>
        <v>2.047292462878041E-4</v>
      </c>
      <c r="E36">
        <f ca="1">LN(Historical_Data!E37 / Historical_Data!E36)</f>
        <v>-6.0301690265911877E-3</v>
      </c>
      <c r="F36">
        <f>LN(Historical_Data!F37 / Historical_Data!F36)</f>
        <v>-2.551855716741715E-2</v>
      </c>
      <c r="G36">
        <f ca="1">LN(Historical_Data!G37 / Historical_Data!G36)</f>
        <v>8.3280423381516755E-2</v>
      </c>
      <c r="H36">
        <f ca="1">LN(Historical_Data!H37 / Historical_Data!H36)</f>
        <v>3.2458416193774708E-2</v>
      </c>
      <c r="I36">
        <f ca="1">LN(Historical_Data!I37 / Historical_Data!I36)</f>
        <v>1.9427781848117925E-2</v>
      </c>
    </row>
    <row r="37" spans="1:9" x14ac:dyDescent="0.25">
      <c r="A37" vm="36">
        <f ca="1">Historical_Data!A38</f>
        <v>44562</v>
      </c>
      <c r="B37">
        <f ca="1">LN(Historical_Data!B38 / Historical_Data!B37)</f>
        <v>-5.4183027200721511E-2</v>
      </c>
      <c r="C37">
        <f ca="1">LN(Historical_Data!C38 / Historical_Data!C37)</f>
        <v>-3.7026883432669688E-2</v>
      </c>
      <c r="D37">
        <f ca="1">LN(Historical_Data!D38 / Historical_Data!D37)</f>
        <v>-2.0472924628779464E-4</v>
      </c>
      <c r="E37">
        <f ca="1">LN(Historical_Data!E38 / Historical_Data!E37)</f>
        <v>-2.0188395944987027E-2</v>
      </c>
      <c r="F37">
        <f>LN(Historical_Data!F38 / Historical_Data!F37)</f>
        <v>-3.4185496461965718E-2</v>
      </c>
      <c r="G37">
        <f ca="1">LN(Historical_Data!G38 / Historical_Data!G37)</f>
        <v>-8.7975708559191748E-2</v>
      </c>
      <c r="H37">
        <f ca="1">LN(Historical_Data!H38 / Historical_Data!H37)</f>
        <v>-1.6930060765589335E-2</v>
      </c>
      <c r="I37">
        <f ca="1">LN(Historical_Data!I38 / Historical_Data!I37)</f>
        <v>-0.10020413162893285</v>
      </c>
    </row>
    <row r="38" spans="1:9" x14ac:dyDescent="0.25">
      <c r="A38" vm="37">
        <f ca="1">Historical_Data!A39</f>
        <v>44593</v>
      </c>
      <c r="B38">
        <f ca="1">LN(Historical_Data!B39 / Historical_Data!B38)</f>
        <v>-2.9961408225892733E-2</v>
      </c>
      <c r="C38">
        <f ca="1">LN(Historical_Data!C39 / Historical_Data!C38)</f>
        <v>-3.4893502396098536E-2</v>
      </c>
      <c r="D38">
        <f ca="1">LN(Historical_Data!D39 / Historical_Data!D38)</f>
        <v>-4.4163292530169228E-2</v>
      </c>
      <c r="E38">
        <f ca="1">LN(Historical_Data!E39 / Historical_Data!E38)</f>
        <v>-1.2963811371913445E-2</v>
      </c>
      <c r="F38">
        <f>LN(Historical_Data!F39 / Historical_Data!F38)</f>
        <v>-1.5411444677406471E-2</v>
      </c>
      <c r="G38">
        <f ca="1">LN(Historical_Data!G39 / Historical_Data!G38)</f>
        <v>-3.5447719372569041E-2</v>
      </c>
      <c r="H38">
        <f ca="1">LN(Historical_Data!H39 / Historical_Data!H38)</f>
        <v>5.9416555992758475E-2</v>
      </c>
      <c r="I38">
        <f ca="1">LN(Historical_Data!I39 / Historical_Data!I38)</f>
        <v>1.0282866955583836E-2</v>
      </c>
    </row>
    <row r="39" spans="1:9" x14ac:dyDescent="0.25">
      <c r="A39" vm="38">
        <f ca="1">Historical_Data!A40</f>
        <v>44621</v>
      </c>
      <c r="B39">
        <f ca="1">LN(Historical_Data!B40 / Historical_Data!B39)</f>
        <v>3.3799247776515558E-2</v>
      </c>
      <c r="C39">
        <f ca="1">LN(Historical_Data!C40 / Historical_Data!C39)</f>
        <v>5.1764180427402344E-3</v>
      </c>
      <c r="D39">
        <f ca="1">LN(Historical_Data!D40 / Historical_Data!D39)</f>
        <v>-3.4396076849340304E-2</v>
      </c>
      <c r="E39">
        <f ca="1">LN(Historical_Data!E40 / Historical_Data!E39)</f>
        <v>-2.9984771895382321E-2</v>
      </c>
      <c r="F39">
        <f>LN(Historical_Data!F40 / Historical_Data!F39)</f>
        <v>-5.8481681627384909E-2</v>
      </c>
      <c r="G39">
        <f ca="1">LN(Historical_Data!G40 / Historical_Data!G39)</f>
        <v>5.5298331579349234E-2</v>
      </c>
      <c r="H39">
        <f ca="1">LN(Historical_Data!H40 / Historical_Data!H39)</f>
        <v>1.2645351355587968E-2</v>
      </c>
      <c r="I39">
        <f ca="1">LN(Historical_Data!I40 / Historical_Data!I39)</f>
        <v>9.5450931503857812E-3</v>
      </c>
    </row>
    <row r="40" spans="1:9" x14ac:dyDescent="0.25">
      <c r="A40" vm="39">
        <f ca="1">Historical_Data!A41</f>
        <v>44652</v>
      </c>
      <c r="B40">
        <f ca="1">LN(Historical_Data!B41 / Historical_Data!B40)</f>
        <v>-9.1862052962795038E-2</v>
      </c>
      <c r="C40">
        <f ca="1">LN(Historical_Data!C41 / Historical_Data!C40)</f>
        <v>-6.9769570555123658E-2</v>
      </c>
      <c r="D40">
        <f ca="1">LN(Historical_Data!D41 / Historical_Data!D40)</f>
        <v>-6.3313727022841312E-2</v>
      </c>
      <c r="E40">
        <f ca="1">LN(Historical_Data!E41 / Historical_Data!E40)</f>
        <v>-4.0296922310764267E-2</v>
      </c>
      <c r="F40">
        <f>LN(Historical_Data!F41 / Historical_Data!F40)</f>
        <v>-9.5302661035598465E-2</v>
      </c>
      <c r="G40">
        <f ca="1">LN(Historical_Data!G41 / Historical_Data!G40)</f>
        <v>-4.1737488354608117E-2</v>
      </c>
      <c r="H40">
        <f ca="1">LN(Historical_Data!H41 / Historical_Data!H40)</f>
        <v>-2.0920328913126861E-2</v>
      </c>
      <c r="I40">
        <f ca="1">LN(Historical_Data!I41 / Historical_Data!I40)</f>
        <v>-0.10424066745062453</v>
      </c>
    </row>
    <row r="41" spans="1:9" x14ac:dyDescent="0.25">
      <c r="A41" vm="40">
        <f ca="1">Historical_Data!A42</f>
        <v>44682</v>
      </c>
      <c r="B41">
        <f ca="1">LN(Historical_Data!B42 / Historical_Data!B41)</f>
        <v>2.2547377207708667E-3</v>
      </c>
      <c r="C41">
        <f ca="1">LN(Historical_Data!C42 / Historical_Data!C41)</f>
        <v>1.9762633809399341E-2</v>
      </c>
      <c r="D41">
        <f ca="1">LN(Historical_Data!D42 / Historical_Data!D41)</f>
        <v>6.1162270174360536E-3</v>
      </c>
      <c r="E41">
        <f ca="1">LN(Historical_Data!E42 / Historical_Data!E41)</f>
        <v>5.8156604739204188E-3</v>
      </c>
      <c r="F41">
        <f>LN(Historical_Data!F42 / Historical_Data!F41)</f>
        <v>-3.0567498713182286E-2</v>
      </c>
      <c r="G41">
        <f ca="1">LN(Historical_Data!G42 / Historical_Data!G41)</f>
        <v>-4.7987138595356936E-2</v>
      </c>
      <c r="H41">
        <f ca="1">LN(Historical_Data!H42 / Historical_Data!H41)</f>
        <v>-3.3159193690613722E-2</v>
      </c>
      <c r="I41">
        <f ca="1">LN(Historical_Data!I42 / Historical_Data!I41)</f>
        <v>1.9445800974545978E-3</v>
      </c>
    </row>
    <row r="42" spans="1:9" x14ac:dyDescent="0.25">
      <c r="A42" vm="41">
        <f ca="1">Historical_Data!A43</f>
        <v>44713</v>
      </c>
      <c r="B42">
        <f ca="1">LN(Historical_Data!B43 / Historical_Data!B42)</f>
        <v>-9.0369989422338967E-2</v>
      </c>
      <c r="C42">
        <f ca="1">LN(Historical_Data!C43 / Historical_Data!C42)</f>
        <v>-0.113631545048116</v>
      </c>
      <c r="D42">
        <f ca="1">LN(Historical_Data!D43 / Historical_Data!D42)</f>
        <v>-6.1416445545065555E-2</v>
      </c>
      <c r="E42">
        <f ca="1">LN(Historical_Data!E43 / Historical_Data!E42)</f>
        <v>-1.745108873566056E-2</v>
      </c>
      <c r="F42">
        <f>LN(Historical_Data!F43 / Historical_Data!F42)</f>
        <v>-1.6507983853210458E-2</v>
      </c>
      <c r="G42">
        <f ca="1">LN(Historical_Data!G43 / Historical_Data!G42)</f>
        <v>-8.3759103259171741E-2</v>
      </c>
      <c r="H42">
        <f ca="1">LN(Historical_Data!H43 / Historical_Data!H42)</f>
        <v>-1.578360210269103E-2</v>
      </c>
      <c r="I42">
        <f ca="1">LN(Historical_Data!I43 / Historical_Data!I42)</f>
        <v>-9.0003471549307643E-2</v>
      </c>
    </row>
    <row r="43" spans="1:9" x14ac:dyDescent="0.25">
      <c r="A43" vm="42">
        <f ca="1">Historical_Data!A44</f>
        <v>44743</v>
      </c>
      <c r="B43">
        <f ca="1">LN(Historical_Data!B44 / Historical_Data!B43)</f>
        <v>8.8090979562341978E-2</v>
      </c>
      <c r="C43">
        <f ca="1">LN(Historical_Data!C44 / Historical_Data!C43)</f>
        <v>5.0396749228077048E-2</v>
      </c>
      <c r="D43">
        <f ca="1">LN(Historical_Data!D44 / Historical_Data!D43)</f>
        <v>-3.4973805321706925E-3</v>
      </c>
      <c r="E43">
        <f ca="1">LN(Historical_Data!E44 / Historical_Data!E43)</f>
        <v>2.3233122768569363E-2</v>
      </c>
      <c r="F43">
        <f>LN(Historical_Data!F44 / Historical_Data!F43)</f>
        <v>2.4491719142522957E-2</v>
      </c>
      <c r="G43">
        <f ca="1">LN(Historical_Data!G44 / Historical_Data!G43)</f>
        <v>8.2648160358465408E-2</v>
      </c>
      <c r="H43">
        <f ca="1">LN(Historical_Data!H44 / Historical_Data!H43)</f>
        <v>-2.6222334791172471E-2</v>
      </c>
      <c r="I43">
        <f ca="1">LN(Historical_Data!I44 / Historical_Data!I43)</f>
        <v>0.10041799557071897</v>
      </c>
    </row>
    <row r="44" spans="1:9" x14ac:dyDescent="0.25">
      <c r="A44" vm="43">
        <f ca="1">Historical_Data!A45</f>
        <v>44774</v>
      </c>
      <c r="B44">
        <f ca="1">LN(Historical_Data!B45 / Historical_Data!B44)</f>
        <v>-4.1657719904628819E-2</v>
      </c>
      <c r="C44">
        <f ca="1">LN(Historical_Data!C45 / Historical_Data!C44)</f>
        <v>-6.311936225772509E-2</v>
      </c>
      <c r="D44">
        <f ca="1">LN(Historical_Data!D45 / Historical_Data!D44)</f>
        <v>-1.3352005890817023E-2</v>
      </c>
      <c r="E44">
        <f ca="1">LN(Historical_Data!E45 / Historical_Data!E44)</f>
        <v>-3.2818649989714767E-2</v>
      </c>
      <c r="F44">
        <f>LN(Historical_Data!F45 / Historical_Data!F44)</f>
        <v>-4.5251891865169445E-2</v>
      </c>
      <c r="G44">
        <f ca="1">LN(Historical_Data!G45 / Historical_Data!G44)</f>
        <v>-6.2008713829856704E-2</v>
      </c>
      <c r="H44">
        <f ca="1">LN(Historical_Data!H45 / Historical_Data!H44)</f>
        <v>-2.9875122832355258E-2</v>
      </c>
      <c r="I44">
        <f ca="1">LN(Historical_Data!I45 / Historical_Data!I44)</f>
        <v>-2.0229954902703916E-2</v>
      </c>
    </row>
    <row r="45" spans="1:9" x14ac:dyDescent="0.25">
      <c r="A45" vm="44">
        <f ca="1">Historical_Data!A46</f>
        <v>44805</v>
      </c>
      <c r="B45">
        <f ca="1">LN(Historical_Data!B46 / Historical_Data!B45)</f>
        <v>-0.10110150091231769</v>
      </c>
      <c r="C45">
        <f ca="1">LN(Historical_Data!C46 / Historical_Data!C45)</f>
        <v>-9.6753684689601271E-2</v>
      </c>
      <c r="D45">
        <f ca="1">LN(Historical_Data!D46 / Historical_Data!D45)</f>
        <v>-0.12261334884875678</v>
      </c>
      <c r="E45">
        <f ca="1">LN(Historical_Data!E46 / Historical_Data!E45)</f>
        <v>-4.4361498457978397E-2</v>
      </c>
      <c r="F45">
        <f>LN(Historical_Data!F46 / Historical_Data!F45)</f>
        <v>-9.034817917653494E-2</v>
      </c>
      <c r="G45">
        <f ca="1">LN(Historical_Data!G46 / Historical_Data!G45)</f>
        <v>-0.14855763419951543</v>
      </c>
      <c r="H45">
        <f ca="1">LN(Historical_Data!H46 / Historical_Data!H45)</f>
        <v>-2.9307060213641472E-2</v>
      </c>
      <c r="I45">
        <f ca="1">LN(Historical_Data!I46 / Historical_Data!I45)</f>
        <v>-0.10675415965592576</v>
      </c>
    </row>
    <row r="46" spans="1:9" x14ac:dyDescent="0.25">
      <c r="A46" vm="45">
        <f ca="1">Historical_Data!A47</f>
        <v>44835</v>
      </c>
      <c r="B46">
        <f ca="1">LN(Historical_Data!B47 / Historical_Data!B46)</f>
        <v>7.8141406585357551E-2</v>
      </c>
      <c r="C46">
        <f ca="1">LN(Historical_Data!C47 / Historical_Data!C46)</f>
        <v>5.72476796288943E-2</v>
      </c>
      <c r="D46">
        <f ca="1">LN(Historical_Data!D47 / Historical_Data!D46)</f>
        <v>-1.9980395389569087E-2</v>
      </c>
      <c r="E46">
        <f ca="1">LN(Historical_Data!E47 / Historical_Data!E46)</f>
        <v>-1.5059895586192473E-2</v>
      </c>
      <c r="F46">
        <f>LN(Historical_Data!F47 / Historical_Data!F46)</f>
        <v>-6.3183113823860423E-2</v>
      </c>
      <c r="G46">
        <f ca="1">LN(Historical_Data!G47 / Historical_Data!G46)</f>
        <v>3.4450234849861608E-2</v>
      </c>
      <c r="H46">
        <f ca="1">LN(Historical_Data!H47 / Historical_Data!H46)</f>
        <v>-1.8005574830477062E-2</v>
      </c>
      <c r="I46">
        <f ca="1">LN(Historical_Data!I47 / Historical_Data!I46)</f>
        <v>0.10582729973623474</v>
      </c>
    </row>
    <row r="47" spans="1:9" x14ac:dyDescent="0.25">
      <c r="A47" vm="46">
        <f ca="1">Historical_Data!A48</f>
        <v>44866</v>
      </c>
      <c r="B47">
        <f ca="1">LN(Historical_Data!B48 / Historical_Data!B47)</f>
        <v>5.4101289965032509E-2</v>
      </c>
      <c r="C47">
        <f ca="1">LN(Historical_Data!C48 / Historical_Data!C47)</f>
        <v>0.12370413630831562</v>
      </c>
      <c r="D47">
        <f ca="1">LN(Historical_Data!D48 / Historical_Data!D47)</f>
        <v>0.14487366922845724</v>
      </c>
      <c r="E47">
        <f ca="1">LN(Historical_Data!E48 / Historical_Data!E47)</f>
        <v>3.5098586962655783E-2</v>
      </c>
      <c r="F47">
        <f>LN(Historical_Data!F48 / Historical_Data!F47)</f>
        <v>5.1195250365706067E-2</v>
      </c>
      <c r="G47">
        <f ca="1">LN(Historical_Data!G48 / Historical_Data!G47)</f>
        <v>5.9645877509702627E-2</v>
      </c>
      <c r="H47">
        <f ca="1">LN(Historical_Data!H48 / Historical_Data!H47)</f>
        <v>8.1505055026517337E-2</v>
      </c>
      <c r="I47">
        <f ca="1">LN(Historical_Data!I48 / Historical_Data!I47)</f>
        <v>2.1797464035487154E-2</v>
      </c>
    </row>
    <row r="48" spans="1:9" x14ac:dyDescent="0.25">
      <c r="A48" vm="47">
        <f ca="1">Historical_Data!A49</f>
        <v>44896</v>
      </c>
      <c r="B48">
        <f ca="1">LN(Historical_Data!B49 / Historical_Data!B48)</f>
        <v>-6.393692296084047E-2</v>
      </c>
      <c r="C48">
        <f ca="1">LN(Historical_Data!C49 / Historical_Data!C48)</f>
        <v>-2.2296795937060628E-2</v>
      </c>
      <c r="D48">
        <f ca="1">LN(Historical_Data!D49 / Historical_Data!D48)</f>
        <v>-4.1855760791286528E-2</v>
      </c>
      <c r="E48">
        <f ca="1">LN(Historical_Data!E49 / Historical_Data!E48)</f>
        <v>-1.3314412173086683E-2</v>
      </c>
      <c r="F48">
        <f>LN(Historical_Data!F49 / Historical_Data!F48)</f>
        <v>-1.4120204980434699E-2</v>
      </c>
      <c r="G48">
        <f ca="1">LN(Historical_Data!G49 / Historical_Data!G48)</f>
        <v>-6.568965270571997E-2</v>
      </c>
      <c r="H48">
        <f ca="1">LN(Historical_Data!H49 / Historical_Data!H48)</f>
        <v>2.8885249360301127E-2</v>
      </c>
      <c r="I48">
        <f ca="1">LN(Historical_Data!I49 / Historical_Data!I48)</f>
        <v>-7.196314424022919E-2</v>
      </c>
    </row>
    <row r="49" spans="1:9" x14ac:dyDescent="0.25">
      <c r="A49" vm="48">
        <f ca="1">Historical_Data!A50</f>
        <v>44927</v>
      </c>
      <c r="B49">
        <f ca="1">LN(Historical_Data!B50 / Historical_Data!B49)</f>
        <v>6.0989097302573091E-2</v>
      </c>
      <c r="C49">
        <f ca="1">LN(Historical_Data!C50 / Historical_Data!C49)</f>
        <v>8.6211239780569812E-2</v>
      </c>
      <c r="D49">
        <f ca="1">LN(Historical_Data!D50 / Historical_Data!D49)</f>
        <v>8.7363118111793134E-2</v>
      </c>
      <c r="E49">
        <f ca="1">LN(Historical_Data!E50 / Historical_Data!E49)</f>
        <v>3.2759889126127269E-2</v>
      </c>
      <c r="F49">
        <f>LN(Historical_Data!F50 / Historical_Data!F49)</f>
        <v>6.4687674691431149E-2</v>
      </c>
      <c r="G49">
        <f ca="1">LN(Historical_Data!G50 / Historical_Data!G49)</f>
        <v>9.8962790197931416E-2</v>
      </c>
      <c r="H49">
        <f ca="1">LN(Historical_Data!H50 / Historical_Data!H49)</f>
        <v>5.5995144824903087E-2</v>
      </c>
      <c r="I49">
        <f ca="1">LN(Historical_Data!I50 / Historical_Data!I49)</f>
        <v>9.3661237154116284E-2</v>
      </c>
    </row>
    <row r="50" spans="1:9" x14ac:dyDescent="0.25">
      <c r="A50" vm="49">
        <f ca="1">Historical_Data!A51</f>
        <v>44958</v>
      </c>
      <c r="B50">
        <f ca="1">LN(Historical_Data!B51 / Historical_Data!B50)</f>
        <v>-2.5464165819363706E-2</v>
      </c>
      <c r="C50">
        <f ca="1">LN(Historical_Data!C51 / Historical_Data!C50)</f>
        <v>-3.1230359241619376E-2</v>
      </c>
      <c r="D50">
        <f ca="1">LN(Historical_Data!D51 / Historical_Data!D50)</f>
        <v>-7.8693682491852338E-2</v>
      </c>
      <c r="E50">
        <f ca="1">LN(Historical_Data!E51 / Historical_Data!E50)</f>
        <v>-2.946601069768098E-2</v>
      </c>
      <c r="F50">
        <f>LN(Historical_Data!F51 / Historical_Data!F50)</f>
        <v>-5.1352168132820938E-2</v>
      </c>
      <c r="G50">
        <f ca="1">LN(Historical_Data!G51 / Historical_Data!G50)</f>
        <v>-6.0432459301259782E-2</v>
      </c>
      <c r="H50">
        <f ca="1">LN(Historical_Data!H51 / Historical_Data!H50)</f>
        <v>-5.5170208121471304E-2</v>
      </c>
      <c r="I50">
        <f ca="1">LN(Historical_Data!I51 / Historical_Data!I50)</f>
        <v>-1.7384412945688578E-2</v>
      </c>
    </row>
    <row r="51" spans="1:9" x14ac:dyDescent="0.25">
      <c r="A51" vm="50">
        <f ca="1">Historical_Data!A52</f>
        <v>44986</v>
      </c>
      <c r="B51">
        <f ca="1">LN(Historical_Data!B52 / Historical_Data!B51)</f>
        <v>3.2597685473504355E-2</v>
      </c>
      <c r="C51">
        <f ca="1">LN(Historical_Data!C52 / Historical_Data!C51)</f>
        <v>3.0810984104418179E-2</v>
      </c>
      <c r="D51">
        <f ca="1">LN(Historical_Data!D52 / Historical_Data!D51)</f>
        <v>3.1666952886147917E-2</v>
      </c>
      <c r="E51">
        <f ca="1">LN(Historical_Data!E52 / Historical_Data!E51)</f>
        <v>2.3661931560082047E-2</v>
      </c>
      <c r="F51">
        <f>LN(Historical_Data!F52 / Historical_Data!F51)</f>
        <v>4.5274827189485826E-2</v>
      </c>
      <c r="G51">
        <f ca="1">LN(Historical_Data!G52 / Historical_Data!G51)</f>
        <v>-3.1763751187797631E-2</v>
      </c>
      <c r="H51">
        <f ca="1">LN(Historical_Data!H52 / Historical_Data!H51)</f>
        <v>7.6184135277240939E-2</v>
      </c>
      <c r="I51">
        <f ca="1">LN(Historical_Data!I52 / Historical_Data!I51)</f>
        <v>-5.3370731432710553E-2</v>
      </c>
    </row>
    <row r="52" spans="1:9" x14ac:dyDescent="0.25">
      <c r="A52" vm="51">
        <f ca="1">Historical_Data!A53</f>
        <v>45017</v>
      </c>
      <c r="B52">
        <f ca="1">LN(Historical_Data!B53 / Historical_Data!B52)</f>
        <v>1.5848729932021424E-2</v>
      </c>
      <c r="C52">
        <f ca="1">LN(Historical_Data!C53 / Historical_Data!C52)</f>
        <v>2.8939597085616477E-2</v>
      </c>
      <c r="D52">
        <f ca="1">LN(Historical_Data!D53 / Historical_Data!D52)</f>
        <v>-8.3980643721481858E-3</v>
      </c>
      <c r="E52">
        <f ca="1">LN(Historical_Data!E53 / Historical_Data!E52)</f>
        <v>3.2064155727717859E-3</v>
      </c>
      <c r="F52">
        <f>LN(Historical_Data!F53 / Historical_Data!F52)</f>
        <v>-5.8314687450817552E-3</v>
      </c>
      <c r="G52">
        <f ca="1">LN(Historical_Data!G53 / Historical_Data!G52)</f>
        <v>3.1261297552184438E-3</v>
      </c>
      <c r="H52">
        <f ca="1">LN(Historical_Data!H53 / Historical_Data!H52)</f>
        <v>8.5865426205211665E-3</v>
      </c>
      <c r="I52">
        <f ca="1">LN(Historical_Data!I53 / Historical_Data!I52)</f>
        <v>-1.810004164361799E-2</v>
      </c>
    </row>
    <row r="53" spans="1:9" x14ac:dyDescent="0.25">
      <c r="A53" vm="52">
        <f ca="1">Historical_Data!A54</f>
        <v>45047</v>
      </c>
      <c r="B53">
        <f ca="1">LN(Historical_Data!B54 / Historical_Data!B53)</f>
        <v>4.6055395758064803E-3</v>
      </c>
      <c r="C53">
        <f ca="1">LN(Historical_Data!C54 / Historical_Data!C53)</f>
        <v>-4.0895573248112133E-2</v>
      </c>
      <c r="D53">
        <f ca="1">LN(Historical_Data!D54 / Historical_Data!D53)</f>
        <v>-2.4315734984896416E-2</v>
      </c>
      <c r="E53">
        <f ca="1">LN(Historical_Data!E54 / Historical_Data!E53)</f>
        <v>-1.4003150289403994E-2</v>
      </c>
      <c r="F53">
        <f>LN(Historical_Data!F54 / Historical_Data!F53)</f>
        <v>-3.3670630706543518E-2</v>
      </c>
      <c r="G53">
        <f ca="1">LN(Historical_Data!G54 / Historical_Data!G53)</f>
        <v>-4.0421914498915412E-2</v>
      </c>
      <c r="H53">
        <f ca="1">LN(Historical_Data!H54 / Historical_Data!H53)</f>
        <v>-1.3510774270155103E-2</v>
      </c>
      <c r="I53">
        <f ca="1">LN(Historical_Data!I54 / Historical_Data!I53)</f>
        <v>-8.1955927681279465E-3</v>
      </c>
    </row>
    <row r="54" spans="1:9" x14ac:dyDescent="0.25">
      <c r="A54" vm="53">
        <f ca="1">Historical_Data!A55</f>
        <v>45078</v>
      </c>
      <c r="B54">
        <f ca="1">LN(Historical_Data!B55 / Historical_Data!B54)</f>
        <v>5.9079108111648994E-2</v>
      </c>
      <c r="C54">
        <f ca="1">LN(Historical_Data!C55 / Historical_Data!C54)</f>
        <v>2.5565407157866125E-2</v>
      </c>
      <c r="D54">
        <f ca="1">LN(Historical_Data!D55 / Historical_Data!D54)</f>
        <v>3.5244805517086655E-2</v>
      </c>
      <c r="E54">
        <f ca="1">LN(Historical_Data!E55 / Historical_Data!E54)</f>
        <v>-6.3098112867977273E-3</v>
      </c>
      <c r="F54">
        <f>LN(Historical_Data!F55 / Historical_Data!F54)</f>
        <v>-3.6162869884552892E-3</v>
      </c>
      <c r="G54">
        <f ca="1">LN(Historical_Data!G55 / Historical_Data!G54)</f>
        <v>4.3538302014483408E-2</v>
      </c>
      <c r="H54">
        <f ca="1">LN(Historical_Data!H55 / Historical_Data!H54)</f>
        <v>-2.2464129973658577E-2</v>
      </c>
      <c r="I54">
        <f ca="1">LN(Historical_Data!I55 / Historical_Data!I54)</f>
        <v>7.4818840038253911E-2</v>
      </c>
    </row>
    <row r="55" spans="1:9" x14ac:dyDescent="0.25">
      <c r="A55" vm="54">
        <f ca="1">Historical_Data!A56</f>
        <v>45108</v>
      </c>
      <c r="B55">
        <f ca="1">LN(Historical_Data!B56 / Historical_Data!B55)</f>
        <v>3.2208939120972099E-2</v>
      </c>
      <c r="C55">
        <f ca="1">LN(Historical_Data!C56 / Historical_Data!C55)</f>
        <v>2.6675506583941699E-2</v>
      </c>
      <c r="D55">
        <f ca="1">LN(Historical_Data!D56 / Historical_Data!D55)</f>
        <v>5.8659926158703836E-2</v>
      </c>
      <c r="E55">
        <f ca="1">LN(Historical_Data!E56 / Historical_Data!E55)</f>
        <v>-2.7603145881005108E-3</v>
      </c>
      <c r="F55">
        <f>LN(Historical_Data!F56 / Historical_Data!F55)</f>
        <v>-3.4161565150571574E-2</v>
      </c>
      <c r="G55">
        <f ca="1">LN(Historical_Data!G56 / Historical_Data!G55)</f>
        <v>2.0140474648699364E-2</v>
      </c>
      <c r="H55">
        <f ca="1">LN(Historical_Data!H56 / Historical_Data!H55)</f>
        <v>2.262866229091887E-2</v>
      </c>
      <c r="I55">
        <f ca="1">LN(Historical_Data!I56 / Historical_Data!I55)</f>
        <v>5.9295049645307935E-2</v>
      </c>
    </row>
    <row r="56" spans="1:9" x14ac:dyDescent="0.25">
      <c r="A56" vm="55">
        <f ca="1">Historical_Data!A57</f>
        <v>45139</v>
      </c>
      <c r="B56">
        <f ca="1">LN(Historical_Data!B57 / Historical_Data!B56)</f>
        <v>-1.6385505450314357E-2</v>
      </c>
      <c r="C56">
        <f ca="1">LN(Historical_Data!C57 / Historical_Data!C56)</f>
        <v>-4.0145126324278281E-2</v>
      </c>
      <c r="D56">
        <f ca="1">LN(Historical_Data!D57 / Historical_Data!D56)</f>
        <v>-6.8567285235475312E-2</v>
      </c>
      <c r="E56">
        <f ca="1">LN(Historical_Data!E57 / Historical_Data!E56)</f>
        <v>-9.0498355199180383E-3</v>
      </c>
      <c r="F56">
        <f>LN(Historical_Data!F57 / Historical_Data!F56)</f>
        <v>-3.1284708187285175E-2</v>
      </c>
      <c r="G56">
        <f ca="1">LN(Historical_Data!G57 / Historical_Data!G56)</f>
        <v>-3.4362722329129729E-2</v>
      </c>
      <c r="H56">
        <f ca="1">LN(Historical_Data!H57 / Historical_Data!H56)</f>
        <v>-1.285996142574993E-2</v>
      </c>
      <c r="I56">
        <f ca="1">LN(Historical_Data!I57 / Historical_Data!I56)</f>
        <v>-5.2165084354645425E-2</v>
      </c>
    </row>
    <row r="57" spans="1:9" x14ac:dyDescent="0.25">
      <c r="A57" vm="56">
        <f ca="1">Historical_Data!A58</f>
        <v>45170</v>
      </c>
      <c r="B57">
        <f ca="1">LN(Historical_Data!B58 / Historical_Data!B57)</f>
        <v>-5.2117554573055919E-2</v>
      </c>
      <c r="C57">
        <f ca="1">LN(Historical_Data!C58 / Historical_Data!C57)</f>
        <v>-3.7170530460563601E-2</v>
      </c>
      <c r="D57">
        <f ca="1">LN(Historical_Data!D58 / Historical_Data!D57)</f>
        <v>-3.1641643836100956E-2</v>
      </c>
      <c r="E57">
        <f ca="1">LN(Historical_Data!E58 / Historical_Data!E57)</f>
        <v>-2.8926770610662483E-2</v>
      </c>
      <c r="F57">
        <f>LN(Historical_Data!F58 / Historical_Data!F57)</f>
        <v>-8.0966543575357125E-2</v>
      </c>
      <c r="G57">
        <f ca="1">LN(Historical_Data!G58 / Historical_Data!G57)</f>
        <v>-8.5093069803051521E-2</v>
      </c>
      <c r="H57">
        <f ca="1">LN(Historical_Data!H58 / Historical_Data!H57)</f>
        <v>-4.8776276920009951E-2</v>
      </c>
      <c r="I57">
        <f ca="1">LN(Historical_Data!I58 / Historical_Data!I57)</f>
        <v>-6.5001664973221046E-2</v>
      </c>
    </row>
    <row r="58" spans="1:9" x14ac:dyDescent="0.25">
      <c r="A58" vm="57">
        <f ca="1">Historical_Data!A59</f>
        <v>45200</v>
      </c>
      <c r="B58">
        <f ca="1">LN(Historical_Data!B59 / Historical_Data!B58)</f>
        <v>-2.1947716662162792E-2</v>
      </c>
      <c r="C58">
        <f ca="1">LN(Historical_Data!C59 / Historical_Data!C58)</f>
        <v>-2.9448535541105599E-2</v>
      </c>
      <c r="D58">
        <f ca="1">LN(Historical_Data!D59 / Historical_Data!D58)</f>
        <v>-3.3492748781114343E-2</v>
      </c>
      <c r="E58">
        <f ca="1">LN(Historical_Data!E59 / Historical_Data!E58)</f>
        <v>-1.8567745669808705E-2</v>
      </c>
      <c r="F58">
        <f>LN(Historical_Data!F59 / Historical_Data!F58)</f>
        <v>-5.7025066282678269E-2</v>
      </c>
      <c r="G58">
        <f ca="1">LN(Historical_Data!G59 / Historical_Data!G58)</f>
        <v>-3.6886669394420882E-2</v>
      </c>
      <c r="H58">
        <f ca="1">LN(Historical_Data!H59 / Historical_Data!H58)</f>
        <v>7.1133089549541464E-2</v>
      </c>
      <c r="I58">
        <f ca="1">LN(Historical_Data!I59 / Historical_Data!I58)</f>
        <v>-7.1647582727635023E-2</v>
      </c>
    </row>
    <row r="59" spans="1:9" x14ac:dyDescent="0.25">
      <c r="A59" vm="58">
        <f ca="1">Historical_Data!A60</f>
        <v>45231</v>
      </c>
      <c r="B59">
        <f ca="1">LN(Historical_Data!B60 / Historical_Data!B59)</f>
        <v>8.7409830993387339E-2</v>
      </c>
      <c r="C59">
        <f ca="1">LN(Historical_Data!C60 / Historical_Data!C59)</f>
        <v>7.8984628218871838E-2</v>
      </c>
      <c r="D59">
        <f ca="1">LN(Historical_Data!D60 / Historical_Data!D59)</f>
        <v>7.5041751693986705E-2</v>
      </c>
      <c r="E59">
        <f ca="1">LN(Historical_Data!E60 / Historical_Data!E59)</f>
        <v>4.1900385872903172E-2</v>
      </c>
      <c r="F59">
        <f>LN(Historical_Data!F60 / Historical_Data!F59)</f>
        <v>9.1451682234133427E-2</v>
      </c>
      <c r="G59">
        <f ca="1">LN(Historical_Data!G60 / Historical_Data!G59)</f>
        <v>0.11405818171757608</v>
      </c>
      <c r="H59">
        <f ca="1">LN(Historical_Data!H60 / Historical_Data!H59)</f>
        <v>2.4998619670663271E-2</v>
      </c>
      <c r="I59">
        <f ca="1">LN(Historical_Data!I60 / Historical_Data!I59)</f>
        <v>8.8034032438837104E-2</v>
      </c>
    </row>
    <row r="60" spans="1:9" x14ac:dyDescent="0.25">
      <c r="A60" vm="59">
        <f ca="1">Historical_Data!A61</f>
        <v>45261</v>
      </c>
      <c r="B60">
        <f ca="1">LN(Historical_Data!B61 / Historical_Data!B60)</f>
        <v>4.0597604754291729E-2</v>
      </c>
      <c r="C60">
        <f ca="1">LN(Historical_Data!C61 / Historical_Data!C60)</f>
        <v>3.9661420735009133E-2</v>
      </c>
      <c r="D60">
        <f ca="1">LN(Historical_Data!D61 / Historical_Data!D60)</f>
        <v>1.6297214154671356E-2</v>
      </c>
      <c r="E60">
        <f ca="1">LN(Historical_Data!E61 / Historical_Data!E60)</f>
        <v>3.0589055692336511E-2</v>
      </c>
      <c r="F60">
        <f>LN(Historical_Data!F61 / Historical_Data!F60)</f>
        <v>7.9646683081131861E-2</v>
      </c>
      <c r="G60">
        <f ca="1">LN(Historical_Data!G61 / Historical_Data!G60)</f>
        <v>7.7998247023877934E-2</v>
      </c>
      <c r="H60">
        <f ca="1">LN(Historical_Data!H61 / Historical_Data!H60)</f>
        <v>1.2739696411792885E-2</v>
      </c>
      <c r="I60">
        <f ca="1">LN(Historical_Data!I61 / Historical_Data!I60)</f>
        <v>0.11079490437034124</v>
      </c>
    </row>
    <row r="61" spans="1:9" x14ac:dyDescent="0.25">
      <c r="A61" vm="60">
        <f ca="1">Historical_Data!A62</f>
        <v>45292</v>
      </c>
      <c r="B61">
        <f ca="1">LN(Historical_Data!B62 / Historical_Data!B61)</f>
        <v>1.5800952837271804E-2</v>
      </c>
      <c r="C61">
        <f ca="1">LN(Historical_Data!C62 / Historical_Data!C61)</f>
        <v>-4.5224870909593845E-3</v>
      </c>
      <c r="D61">
        <f ca="1">LN(Historical_Data!D62 / Historical_Data!D61)</f>
        <v>-4.6318711896476288E-2</v>
      </c>
      <c r="E61">
        <f ca="1">LN(Historical_Data!E62 / Historical_Data!E61)</f>
        <v>-1.5124782313575135E-3</v>
      </c>
      <c r="F61">
        <f>LN(Historical_Data!F62 / Historical_Data!F61)</f>
        <v>-4.266514974684487E-2</v>
      </c>
      <c r="G61">
        <f ca="1">LN(Historical_Data!G62 / Historical_Data!G61)</f>
        <v>-5.1912961693713143E-2</v>
      </c>
      <c r="H61">
        <f ca="1">LN(Historical_Data!H62 / Historical_Data!H61)</f>
        <v>-1.4330364827782537E-2</v>
      </c>
      <c r="I61">
        <f ca="1">LN(Historical_Data!I62 / Historical_Data!I61)</f>
        <v>-3.9792846298486145E-2</v>
      </c>
    </row>
    <row r="64" spans="1:9" x14ac:dyDescent="0.25">
      <c r="A64" t="s">
        <v>10</v>
      </c>
      <c r="B64" s="2">
        <f ca="1">AVERAGE(B2:B61)</f>
        <v>9.6934251575643351E-3</v>
      </c>
      <c r="C64" s="2">
        <f t="shared" ref="C64:I64" ca="1" si="0">AVERAGE(C2:C61)</f>
        <v>2.9929836748954081E-3</v>
      </c>
      <c r="D64" s="2">
        <f t="shared" ca="1" si="0"/>
        <v>-1.9287664682832628E-3</v>
      </c>
      <c r="E64" s="2">
        <f t="shared" ca="1" si="0"/>
        <v>-1.3498207327455524E-3</v>
      </c>
      <c r="F64" s="2">
        <f t="shared" si="0"/>
        <v>-4.1787986333360564E-3</v>
      </c>
      <c r="G64" s="2">
        <f t="shared" ca="1" si="0"/>
        <v>9.5636843411369435E-5</v>
      </c>
      <c r="H64" s="2">
        <f t="shared" ca="1" si="0"/>
        <v>6.8753497513586058E-3</v>
      </c>
      <c r="I64" s="2">
        <f t="shared" ca="1" si="0"/>
        <v>4.2953220736561288E-3</v>
      </c>
    </row>
    <row r="65" spans="1:9" x14ac:dyDescent="0.25">
      <c r="A65" t="s">
        <v>11</v>
      </c>
      <c r="B65" s="2">
        <f ca="1">_xlfn.STDEV.S(B2:B61)</f>
        <v>5.3186614196864455E-2</v>
      </c>
      <c r="C65" s="2">
        <f t="shared" ref="C65:I65" ca="1" si="1">_xlfn.STDEV.S(C2:C61)</f>
        <v>5.178958164801549E-2</v>
      </c>
      <c r="D65" s="2">
        <f t="shared" ca="1" si="1"/>
        <v>5.4105125951624075E-2</v>
      </c>
      <c r="E65" s="2">
        <f t="shared" ca="1" si="1"/>
        <v>1.7886477372297458E-2</v>
      </c>
      <c r="F65" s="2">
        <f t="shared" si="1"/>
        <v>4.567980742692497E-2</v>
      </c>
      <c r="G65" s="2">
        <f t="shared" ca="1" si="1"/>
        <v>6.1257528347459157E-2</v>
      </c>
      <c r="H65" s="2">
        <f t="shared" ca="1" si="1"/>
        <v>4.1270345249918836E-2</v>
      </c>
      <c r="I65" s="2">
        <f t="shared" ca="1" si="1"/>
        <v>6.9865958957499086E-2</v>
      </c>
    </row>
    <row r="66" spans="1:9" x14ac:dyDescent="0.25">
      <c r="A66" t="s">
        <v>12</v>
      </c>
      <c r="B66" s="2">
        <f ca="1">B64 * 12</f>
        <v>0.11632110189077202</v>
      </c>
      <c r="C66" s="2">
        <f t="shared" ref="C66:I66" ca="1" si="2">C64 * 12</f>
        <v>3.5915804098744897E-2</v>
      </c>
      <c r="D66" s="2">
        <f t="shared" ca="1" si="2"/>
        <v>-2.3145197619399153E-2</v>
      </c>
      <c r="E66" s="2">
        <f t="shared" ca="1" si="2"/>
        <v>-1.6197848792946629E-2</v>
      </c>
      <c r="F66" s="2">
        <f t="shared" si="2"/>
        <v>-5.0145583600032677E-2</v>
      </c>
      <c r="G66" s="2">
        <f t="shared" ca="1" si="2"/>
        <v>1.1476421209364331E-3</v>
      </c>
      <c r="H66" s="2">
        <f t="shared" ca="1" si="2"/>
        <v>8.2504197016303266E-2</v>
      </c>
      <c r="I66" s="2">
        <f t="shared" ca="1" si="2"/>
        <v>5.1543864883873546E-2</v>
      </c>
    </row>
    <row r="67" spans="1:9" x14ac:dyDescent="0.25">
      <c r="A67" t="s">
        <v>13</v>
      </c>
      <c r="B67" s="2">
        <f ca="1">B65 * SQRT(12)</f>
        <v>0.18424383614306677</v>
      </c>
      <c r="C67" s="2">
        <f t="shared" ref="C67:I67" ca="1" si="3">C65 * SQRT(12)</f>
        <v>0.17940437343419907</v>
      </c>
      <c r="D67" s="2">
        <f t="shared" ca="1" si="3"/>
        <v>0.18742565419625259</v>
      </c>
      <c r="E67" s="2">
        <f t="shared" ca="1" si="3"/>
        <v>6.196057515450052E-2</v>
      </c>
      <c r="F67" s="2">
        <f t="shared" si="3"/>
        <v>0.15823949468679238</v>
      </c>
      <c r="G67" s="2">
        <f t="shared" ca="1" si="3"/>
        <v>0.21220230288778005</v>
      </c>
      <c r="H67" s="2">
        <f t="shared" ca="1" si="3"/>
        <v>0.1429646696375366</v>
      </c>
      <c r="I67" s="2">
        <f t="shared" ca="1" si="3"/>
        <v>0.24202278126782065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39D0-4DAA-4C6F-9E59-C323ACAEA8F7}">
  <sheetPr>
    <pageSetUpPr fitToPage="1"/>
  </sheetPr>
  <dimension ref="A1:I62"/>
  <sheetViews>
    <sheetView topLeftCell="A28" zoomScaleNormal="100" workbookViewId="0">
      <selection activeCell="B2" sqref="B2"/>
    </sheetView>
  </sheetViews>
  <sheetFormatPr defaultRowHeight="15" x14ac:dyDescent="0.25"/>
  <cols>
    <col min="1" max="1" width="9.42578125" customWidth="1"/>
    <col min="3" max="9" width="9.42578125" bestFit="1" customWidth="1"/>
  </cols>
  <sheetData>
    <row r="1" spans="1:9" x14ac:dyDescent="0.25">
      <c r="A1" t="s">
        <v>7</v>
      </c>
      <c r="B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cm="1" vm="61">
        <f t="array" aca="1" ref="A2:B62" ca="1">_xlfn.STOCKHISTORY("SPY", "2019-01-01", "2024-01-01", 2, 0, 0, 1)</f>
        <v>43466</v>
      </c>
      <c r="B2" vm="62">
        <f ca="1"/>
        <v>269.93</v>
      </c>
      <c r="C2" cm="1" vm="63">
        <f t="array" aca="1" ref="C2:C62" ca="1">_xlfn.STOCKHISTORY("EFA", "2019-01-01", "2024-01-01", 2, 0, 1)</f>
        <v>62.68</v>
      </c>
      <c r="D2" cm="1" vm="64">
        <f t="array" aca="1" ref="D2:D62" ca="1">_xlfn.STOCKHISTORY("EEM", "2019-01-01", "2024-01-01", 2, 0, 1)</f>
        <v>43.1</v>
      </c>
      <c r="E2" cm="1" vm="65">
        <f t="array" aca="1" ref="E2:E62" ca="1">_xlfn.STOCKHISTORY("AGG", "2019-01-01", "2024-01-01", 2, 0, 1)</f>
        <v>107.46</v>
      </c>
      <c r="F2" s="1">
        <v>121.75</v>
      </c>
      <c r="G2" cm="1" vm="66">
        <f t="array" aca="1" ref="G2:G62" ca="1">_xlfn.STOCKHISTORY("VNQ", "2019-01-01", "2024-01-01", 2, 0, 1)</f>
        <v>83.41</v>
      </c>
      <c r="H2" cm="1" vm="67">
        <f t="array" aca="1" ref="H2:H62" ca="1">_xlfn.STOCKHISTORY("GLD", "2019-01-01", "2024-01-01", 2, 0, 1)</f>
        <v>124.75</v>
      </c>
      <c r="I2" cm="1" vm="68">
        <f t="array" aca="1" ref="I2:I62" ca="1">_xlfn.STOCKHISTORY("IWM", "2019-01-01", "2024-01-01", 2, 0, 1)</f>
        <v>149.06</v>
      </c>
    </row>
    <row r="3" spans="1:9" x14ac:dyDescent="0.25">
      <c r="A3" vm="1">
        <f ca="1"/>
        <v>43497</v>
      </c>
      <c r="B3" vm="69">
        <f ca="1"/>
        <v>278.68</v>
      </c>
      <c r="C3" vm="70">
        <f ca="1"/>
        <v>64.27</v>
      </c>
      <c r="D3" vm="71">
        <f ca="1"/>
        <v>42.44</v>
      </c>
      <c r="E3" vm="72">
        <f ca="1"/>
        <v>107.07</v>
      </c>
      <c r="F3" s="1">
        <v>121.43</v>
      </c>
      <c r="G3" vm="73">
        <f ca="1"/>
        <v>83.99</v>
      </c>
      <c r="H3" vm="74">
        <f ca="1"/>
        <v>123.99</v>
      </c>
      <c r="I3" vm="75">
        <f ca="1"/>
        <v>156.78</v>
      </c>
    </row>
    <row r="4" spans="1:9" x14ac:dyDescent="0.25">
      <c r="A4" vm="2">
        <f ca="1"/>
        <v>43525</v>
      </c>
      <c r="B4" vm="76">
        <f ca="1"/>
        <v>282.48</v>
      </c>
      <c r="C4" vm="77">
        <f ca="1"/>
        <v>64.86</v>
      </c>
      <c r="D4" vm="78">
        <f ca="1"/>
        <v>42.92</v>
      </c>
      <c r="E4" vm="79">
        <f ca="1"/>
        <v>109.07</v>
      </c>
      <c r="F4" s="1">
        <v>127.81</v>
      </c>
      <c r="G4" vm="80">
        <f ca="1"/>
        <v>86.91</v>
      </c>
      <c r="H4" vm="81">
        <f ca="1"/>
        <v>122.01</v>
      </c>
      <c r="I4" vm="82">
        <f ca="1"/>
        <v>153.09</v>
      </c>
    </row>
    <row r="5" spans="1:9" x14ac:dyDescent="0.25">
      <c r="A5" vm="3">
        <f ca="1"/>
        <v>43556</v>
      </c>
      <c r="B5" vm="83">
        <f ca="1"/>
        <v>294.02</v>
      </c>
      <c r="C5" vm="84">
        <f ca="1"/>
        <v>66.760000000000005</v>
      </c>
      <c r="D5" vm="85">
        <f ca="1"/>
        <v>43.93</v>
      </c>
      <c r="E5" vm="86">
        <f ca="1"/>
        <v>108.59</v>
      </c>
      <c r="F5" s="1">
        <v>124.9</v>
      </c>
      <c r="G5" vm="87">
        <f ca="1"/>
        <v>86.77</v>
      </c>
      <c r="H5" vm="88">
        <f ca="1"/>
        <v>121.2</v>
      </c>
      <c r="I5" vm="89">
        <f ca="1"/>
        <v>158.29</v>
      </c>
    </row>
    <row r="6" spans="1:9" x14ac:dyDescent="0.25">
      <c r="A6" vm="4">
        <f ca="1"/>
        <v>43586</v>
      </c>
      <c r="B6" vm="90">
        <f ca="1"/>
        <v>275.27</v>
      </c>
      <c r="C6" vm="91">
        <f ca="1"/>
        <v>63.4</v>
      </c>
      <c r="D6" vm="92">
        <f ca="1"/>
        <v>40.71</v>
      </c>
      <c r="E6" vm="93">
        <f ca="1"/>
        <v>110.4</v>
      </c>
      <c r="F6" s="1">
        <v>132.02000000000001</v>
      </c>
      <c r="G6" vm="94">
        <f ca="1"/>
        <v>86.89</v>
      </c>
      <c r="H6" vm="95">
        <f ca="1"/>
        <v>123.33</v>
      </c>
      <c r="I6" vm="96">
        <f ca="1"/>
        <v>145.86000000000001</v>
      </c>
    </row>
    <row r="7" spans="1:9" x14ac:dyDescent="0.25">
      <c r="A7" vm="5">
        <f ca="1"/>
        <v>43617</v>
      </c>
      <c r="B7" vm="97">
        <f ca="1"/>
        <v>293</v>
      </c>
      <c r="C7" vm="98">
        <f ca="1"/>
        <v>65.73</v>
      </c>
      <c r="D7" vm="99">
        <f ca="1"/>
        <v>42.91</v>
      </c>
      <c r="E7" vm="100">
        <f ca="1"/>
        <v>111.35</v>
      </c>
      <c r="F7" s="1">
        <v>131.78</v>
      </c>
      <c r="G7" vm="101">
        <f ca="1"/>
        <v>87.4</v>
      </c>
      <c r="H7" vm="102">
        <f ca="1"/>
        <v>133.19999999999999</v>
      </c>
      <c r="I7" vm="103">
        <f ca="1"/>
        <v>155.5</v>
      </c>
    </row>
    <row r="8" spans="1:9" x14ac:dyDescent="0.25">
      <c r="A8" vm="6">
        <f ca="1"/>
        <v>43647</v>
      </c>
      <c r="B8" vm="104">
        <f ca="1"/>
        <v>297.43</v>
      </c>
      <c r="C8" vm="105">
        <f ca="1"/>
        <v>64.45</v>
      </c>
      <c r="D8" vm="106">
        <f ca="1"/>
        <v>41.77</v>
      </c>
      <c r="E8" vm="107">
        <f ca="1"/>
        <v>111.3</v>
      </c>
      <c r="F8" s="1">
        <v>131.85</v>
      </c>
      <c r="G8" vm="108">
        <f ca="1"/>
        <v>88.89</v>
      </c>
      <c r="H8" vm="109">
        <f ca="1"/>
        <v>133.21</v>
      </c>
      <c r="I8" vm="110">
        <f ca="1"/>
        <v>156.56</v>
      </c>
    </row>
    <row r="9" spans="1:9" x14ac:dyDescent="0.25">
      <c r="A9" vm="7">
        <f ca="1"/>
        <v>43678</v>
      </c>
      <c r="B9" vm="111">
        <f ca="1"/>
        <v>292.45</v>
      </c>
      <c r="C9" vm="112">
        <f ca="1"/>
        <v>63.21</v>
      </c>
      <c r="D9" vm="113">
        <f ca="1"/>
        <v>40.19</v>
      </c>
      <c r="E9" vm="114">
        <f ca="1"/>
        <v>114.13</v>
      </c>
      <c r="F9" s="1">
        <v>145.41</v>
      </c>
      <c r="G9" vm="115">
        <f ca="1"/>
        <v>92.22</v>
      </c>
      <c r="H9" vm="116">
        <f ca="1"/>
        <v>143.75</v>
      </c>
      <c r="I9" vm="117">
        <f ca="1"/>
        <v>148.84</v>
      </c>
    </row>
    <row r="10" spans="1:9" x14ac:dyDescent="0.25">
      <c r="A10" vm="8">
        <f ca="1"/>
        <v>43709</v>
      </c>
      <c r="B10" vm="118">
        <f ca="1"/>
        <v>296.77</v>
      </c>
      <c r="C10" vm="119">
        <f ca="1"/>
        <v>65.209999999999994</v>
      </c>
      <c r="D10" vm="120">
        <f ca="1"/>
        <v>40.869999999999997</v>
      </c>
      <c r="E10" vm="121">
        <f ca="1"/>
        <v>113.17</v>
      </c>
      <c r="F10" s="1">
        <v>138.83000000000001</v>
      </c>
      <c r="G10" vm="122">
        <f ca="1"/>
        <v>93.25</v>
      </c>
      <c r="H10" vm="123">
        <f ca="1"/>
        <v>138.87</v>
      </c>
      <c r="I10" vm="124">
        <f ca="1"/>
        <v>151.34</v>
      </c>
    </row>
    <row r="11" spans="1:9" x14ac:dyDescent="0.25">
      <c r="A11" vm="9">
        <f ca="1"/>
        <v>43739</v>
      </c>
      <c r="B11" vm="125">
        <f ca="1"/>
        <v>303.33</v>
      </c>
      <c r="C11" vm="126">
        <f ca="1"/>
        <v>67.42</v>
      </c>
      <c r="D11" vm="127">
        <f ca="1"/>
        <v>42.58</v>
      </c>
      <c r="E11" vm="128">
        <f ca="1"/>
        <v>113.15</v>
      </c>
      <c r="F11" s="1">
        <v>138.25</v>
      </c>
      <c r="G11" vm="129">
        <f ca="1"/>
        <v>94.3</v>
      </c>
      <c r="H11" vm="130">
        <f ca="1"/>
        <v>142.43</v>
      </c>
      <c r="I11" vm="131">
        <f ca="1"/>
        <v>155.44999999999999</v>
      </c>
    </row>
    <row r="12" spans="1:9" x14ac:dyDescent="0.25">
      <c r="A12" vm="10">
        <f ca="1"/>
        <v>43770</v>
      </c>
      <c r="B12" vm="132">
        <f ca="1"/>
        <v>314.31</v>
      </c>
      <c r="C12" vm="133">
        <f ca="1"/>
        <v>68.180000000000007</v>
      </c>
      <c r="D12" vm="134">
        <f ca="1"/>
        <v>42.54</v>
      </c>
      <c r="E12" vm="135">
        <f ca="1"/>
        <v>112.86</v>
      </c>
      <c r="F12" s="1">
        <v>137.49</v>
      </c>
      <c r="G12" vm="136">
        <f ca="1"/>
        <v>93.07</v>
      </c>
      <c r="H12" vm="137">
        <f ca="1"/>
        <v>137.86000000000001</v>
      </c>
      <c r="I12" vm="138">
        <f ca="1"/>
        <v>161.77000000000001</v>
      </c>
    </row>
    <row r="13" spans="1:9" x14ac:dyDescent="0.25">
      <c r="A13" vm="11">
        <f ca="1"/>
        <v>43800</v>
      </c>
      <c r="B13" vm="139">
        <f ca="1"/>
        <v>321.86</v>
      </c>
      <c r="C13" vm="140">
        <f ca="1"/>
        <v>69.44</v>
      </c>
      <c r="D13" vm="141">
        <f ca="1"/>
        <v>44.87</v>
      </c>
      <c r="E13" vm="142">
        <f ca="1"/>
        <v>112.37</v>
      </c>
      <c r="F13" s="1">
        <v>135.72</v>
      </c>
      <c r="G13" vm="143">
        <f ca="1"/>
        <v>92.79</v>
      </c>
      <c r="H13" vm="144">
        <f ca="1"/>
        <v>142.9</v>
      </c>
      <c r="I13" vm="145">
        <f ca="1"/>
        <v>165.67</v>
      </c>
    </row>
    <row r="14" spans="1:9" x14ac:dyDescent="0.25">
      <c r="A14" vm="12">
        <f ca="1"/>
        <v>43831</v>
      </c>
      <c r="B14" vm="146">
        <f ca="1"/>
        <v>321.73</v>
      </c>
      <c r="C14" vm="147">
        <f ca="1"/>
        <v>67.48</v>
      </c>
      <c r="D14" vm="148">
        <f ca="1"/>
        <v>42.11</v>
      </c>
      <c r="E14" vm="149">
        <f ca="1"/>
        <v>114.65</v>
      </c>
      <c r="F14" s="1">
        <v>144.91999999999999</v>
      </c>
      <c r="G14" vm="150">
        <f ca="1"/>
        <v>93.93</v>
      </c>
      <c r="H14" vm="151">
        <f ca="1"/>
        <v>149.33000000000001</v>
      </c>
      <c r="I14" vm="152">
        <f ca="1"/>
        <v>160.53</v>
      </c>
    </row>
    <row r="15" spans="1:9" x14ac:dyDescent="0.25">
      <c r="A15" vm="13">
        <f ca="1"/>
        <v>43862</v>
      </c>
      <c r="B15" vm="153">
        <f ca="1"/>
        <v>296.26</v>
      </c>
      <c r="C15" vm="154">
        <f ca="1"/>
        <v>62.24</v>
      </c>
      <c r="D15" vm="155">
        <f ca="1"/>
        <v>40.520000000000003</v>
      </c>
      <c r="E15" vm="156">
        <f ca="1"/>
        <v>116.22</v>
      </c>
      <c r="F15" s="1">
        <v>154.49</v>
      </c>
      <c r="G15" vm="157">
        <f ca="1"/>
        <v>87.33</v>
      </c>
      <c r="H15" vm="158">
        <f ca="1"/>
        <v>148.38</v>
      </c>
      <c r="I15" vm="159">
        <f ca="1"/>
        <v>146.33000000000001</v>
      </c>
    </row>
    <row r="16" spans="1:9" x14ac:dyDescent="0.25">
      <c r="A16" vm="14">
        <f ca="1"/>
        <v>43891</v>
      </c>
      <c r="B16" vm="160">
        <f ca="1"/>
        <v>257.75</v>
      </c>
      <c r="C16" vm="161">
        <f ca="1"/>
        <v>53.46</v>
      </c>
      <c r="D16" vm="162">
        <f ca="1"/>
        <v>34.130000000000003</v>
      </c>
      <c r="E16" vm="163">
        <f ca="1"/>
        <v>115.37</v>
      </c>
      <c r="F16" s="1">
        <v>164.71</v>
      </c>
      <c r="G16" vm="164">
        <f ca="1"/>
        <v>69.849999999999994</v>
      </c>
      <c r="H16" vm="165">
        <f ca="1"/>
        <v>148.05000000000001</v>
      </c>
      <c r="I16" vm="166">
        <f ca="1"/>
        <v>114.46</v>
      </c>
    </row>
    <row r="17" spans="1:9" x14ac:dyDescent="0.25">
      <c r="A17" vm="15">
        <f ca="1"/>
        <v>43922</v>
      </c>
      <c r="B17" vm="167">
        <f ca="1"/>
        <v>290.48</v>
      </c>
      <c r="C17" vm="168">
        <f ca="1"/>
        <v>56.57</v>
      </c>
      <c r="D17" vm="169">
        <f ca="1"/>
        <v>36.64</v>
      </c>
      <c r="E17" vm="170">
        <f ca="1"/>
        <v>117.1</v>
      </c>
      <c r="F17" s="1">
        <v>164.44</v>
      </c>
      <c r="G17" vm="171">
        <f ca="1"/>
        <v>76.11</v>
      </c>
      <c r="H17" vm="172">
        <f ca="1"/>
        <v>158.80000000000001</v>
      </c>
      <c r="I17" vm="173">
        <f ca="1"/>
        <v>130.31</v>
      </c>
    </row>
    <row r="18" spans="1:9" x14ac:dyDescent="0.25">
      <c r="A18" vm="16">
        <f ca="1"/>
        <v>43952</v>
      </c>
      <c r="B18" vm="174">
        <f ca="1"/>
        <v>304.32</v>
      </c>
      <c r="C18" vm="175">
        <f ca="1"/>
        <v>59.64</v>
      </c>
      <c r="D18" vm="176">
        <f ca="1"/>
        <v>37.729999999999997</v>
      </c>
      <c r="E18" vm="177">
        <f ca="1"/>
        <v>117.65</v>
      </c>
      <c r="F18" s="1">
        <v>161.76</v>
      </c>
      <c r="G18" vm="178">
        <f ca="1"/>
        <v>77.430000000000007</v>
      </c>
      <c r="H18" vm="179">
        <f ca="1"/>
        <v>162.91</v>
      </c>
      <c r="I18" vm="180">
        <f ca="1"/>
        <v>138.9</v>
      </c>
    </row>
    <row r="19" spans="1:9" x14ac:dyDescent="0.25">
      <c r="A19" vm="17">
        <f ca="1"/>
        <v>43983</v>
      </c>
      <c r="B19" vm="181">
        <f ca="1"/>
        <v>308.36</v>
      </c>
      <c r="C19" vm="182">
        <f ca="1"/>
        <v>60.87</v>
      </c>
      <c r="D19" vm="183">
        <f ca="1"/>
        <v>39.99</v>
      </c>
      <c r="E19" vm="184">
        <f ca="1"/>
        <v>118.21</v>
      </c>
      <c r="F19" s="1">
        <v>160.4</v>
      </c>
      <c r="G19" vm="185">
        <f ca="1"/>
        <v>78.53</v>
      </c>
      <c r="H19" vm="186">
        <f ca="1"/>
        <v>167.37</v>
      </c>
      <c r="I19" vm="187">
        <f ca="1"/>
        <v>143.18</v>
      </c>
    </row>
    <row r="20" spans="1:9" x14ac:dyDescent="0.25">
      <c r="A20" vm="18">
        <f ca="1"/>
        <v>44013</v>
      </c>
      <c r="B20" vm="188">
        <f ca="1"/>
        <v>326.52</v>
      </c>
      <c r="C20" vm="189">
        <f ca="1"/>
        <v>62.05</v>
      </c>
      <c r="D20" vm="190">
        <f ca="1"/>
        <v>43.29</v>
      </c>
      <c r="E20" vm="191">
        <f ca="1"/>
        <v>119.56</v>
      </c>
      <c r="F20" s="1">
        <v>169.21</v>
      </c>
      <c r="G20" vm="192">
        <f ca="1"/>
        <v>81.39</v>
      </c>
      <c r="H20" vm="193">
        <f ca="1"/>
        <v>185.43</v>
      </c>
      <c r="I20" vm="194">
        <f ca="1"/>
        <v>147.36000000000001</v>
      </c>
    </row>
    <row r="21" spans="1:9" x14ac:dyDescent="0.25">
      <c r="A21" vm="19">
        <f ca="1"/>
        <v>44044</v>
      </c>
      <c r="B21" vm="195">
        <f ca="1"/>
        <v>349.31</v>
      </c>
      <c r="C21" vm="196">
        <f ca="1"/>
        <v>64.98</v>
      </c>
      <c r="D21" vm="197">
        <f ca="1"/>
        <v>44.54</v>
      </c>
      <c r="E21" vm="198">
        <f ca="1"/>
        <v>118.37</v>
      </c>
      <c r="F21" s="1">
        <v>159.97999999999999</v>
      </c>
      <c r="G21" vm="199">
        <f ca="1"/>
        <v>81.75</v>
      </c>
      <c r="H21" vm="200">
        <f ca="1"/>
        <v>184.83</v>
      </c>
      <c r="I21" vm="201">
        <f ca="1"/>
        <v>155.43</v>
      </c>
    </row>
    <row r="22" spans="1:9" x14ac:dyDescent="0.25">
      <c r="A22" vm="20">
        <f ca="1"/>
        <v>44075</v>
      </c>
      <c r="B22" vm="202">
        <f ca="1"/>
        <v>334.89</v>
      </c>
      <c r="C22" vm="203">
        <f ca="1"/>
        <v>63.65</v>
      </c>
      <c r="D22" vm="204">
        <f ca="1"/>
        <v>44.09</v>
      </c>
      <c r="E22" vm="205">
        <f ca="1"/>
        <v>118.06</v>
      </c>
      <c r="F22" s="1">
        <v>162.72</v>
      </c>
      <c r="G22" vm="206">
        <f ca="1"/>
        <v>78.959999999999994</v>
      </c>
      <c r="H22" vm="207">
        <f ca="1"/>
        <v>177.12</v>
      </c>
      <c r="I22" vm="208">
        <f ca="1"/>
        <v>149.79</v>
      </c>
    </row>
    <row r="23" spans="1:9" x14ac:dyDescent="0.25">
      <c r="A23" vm="21">
        <f ca="1"/>
        <v>44105</v>
      </c>
      <c r="B23" vm="209">
        <f ca="1"/>
        <v>326.54000000000002</v>
      </c>
      <c r="C23" vm="210">
        <f ca="1"/>
        <v>61.39</v>
      </c>
      <c r="D23" vm="211">
        <f ca="1"/>
        <v>44.71</v>
      </c>
      <c r="E23" vm="212">
        <f ca="1"/>
        <v>117.2</v>
      </c>
      <c r="F23" s="1">
        <v>157.06</v>
      </c>
      <c r="G23" vm="213">
        <f ca="1"/>
        <v>76.59</v>
      </c>
      <c r="H23" vm="214">
        <f ca="1"/>
        <v>176.2</v>
      </c>
      <c r="I23" vm="82">
        <f ca="1"/>
        <v>153.09</v>
      </c>
    </row>
    <row r="24" spans="1:9" x14ac:dyDescent="0.25">
      <c r="A24" vm="22">
        <f ca="1"/>
        <v>44136</v>
      </c>
      <c r="B24" vm="215">
        <f ca="1"/>
        <v>362.06</v>
      </c>
      <c r="C24" vm="216">
        <f ca="1"/>
        <v>70.150000000000006</v>
      </c>
      <c r="D24" vm="217">
        <f ca="1"/>
        <v>48.73</v>
      </c>
      <c r="E24" vm="218">
        <f ca="1"/>
        <v>118.42</v>
      </c>
      <c r="F24" s="1">
        <v>158.83000000000001</v>
      </c>
      <c r="G24" vm="219">
        <f ca="1"/>
        <v>84</v>
      </c>
      <c r="H24" vm="220">
        <f ca="1"/>
        <v>166.67</v>
      </c>
      <c r="I24" vm="221">
        <f ca="1"/>
        <v>181.02</v>
      </c>
    </row>
    <row r="25" spans="1:9" x14ac:dyDescent="0.25">
      <c r="A25" vm="23">
        <f ca="1"/>
        <v>44166</v>
      </c>
      <c r="B25" vm="222">
        <f ca="1"/>
        <v>373.88</v>
      </c>
      <c r="C25" vm="223">
        <f ca="1"/>
        <v>72.959999999999994</v>
      </c>
      <c r="D25" vm="224">
        <f ca="1"/>
        <v>51.67</v>
      </c>
      <c r="E25" vm="225">
        <f ca="1"/>
        <v>118.19</v>
      </c>
      <c r="F25" s="1">
        <v>157.72999999999999</v>
      </c>
      <c r="G25" vm="226">
        <f ca="1"/>
        <v>84.93</v>
      </c>
      <c r="H25" vm="227">
        <f ca="1"/>
        <v>178.36</v>
      </c>
      <c r="I25" vm="228">
        <f ca="1"/>
        <v>196.06</v>
      </c>
    </row>
    <row r="26" spans="1:9" x14ac:dyDescent="0.25">
      <c r="A26" vm="24">
        <f ca="1"/>
        <v>44197</v>
      </c>
      <c r="B26" vm="229">
        <f ca="1"/>
        <v>370.07</v>
      </c>
      <c r="C26" vm="230">
        <f ca="1"/>
        <v>72.39</v>
      </c>
      <c r="D26" vm="231">
        <f ca="1"/>
        <v>53.31</v>
      </c>
      <c r="E26" vm="232">
        <f ca="1"/>
        <v>117.31</v>
      </c>
      <c r="F26" s="1">
        <v>150.31</v>
      </c>
      <c r="G26" vm="233">
        <f ca="1"/>
        <v>84.96</v>
      </c>
      <c r="H26" vm="234">
        <f ca="1"/>
        <v>172.61</v>
      </c>
      <c r="I26" vm="235">
        <f ca="1"/>
        <v>205.56</v>
      </c>
    </row>
    <row r="27" spans="1:9" x14ac:dyDescent="0.25">
      <c r="A27" vm="25">
        <f ca="1"/>
        <v>44228</v>
      </c>
      <c r="B27" vm="236">
        <f ca="1"/>
        <v>380.36</v>
      </c>
      <c r="C27" vm="237">
        <f ca="1"/>
        <v>74.010000000000005</v>
      </c>
      <c r="D27" vm="238">
        <f ca="1"/>
        <v>53.73</v>
      </c>
      <c r="E27" vm="239">
        <f ca="1"/>
        <v>115.34</v>
      </c>
      <c r="F27" s="1">
        <v>139.75</v>
      </c>
      <c r="G27" vm="240">
        <f ca="1"/>
        <v>87.87</v>
      </c>
      <c r="H27" vm="241">
        <f ca="1"/>
        <v>161.81</v>
      </c>
      <c r="I27" vm="242">
        <f ca="1"/>
        <v>218.31</v>
      </c>
    </row>
    <row r="28" spans="1:9" x14ac:dyDescent="0.25">
      <c r="A28" vm="26">
        <f ca="1"/>
        <v>44256</v>
      </c>
      <c r="B28" vm="243">
        <f ca="1"/>
        <v>396.33</v>
      </c>
      <c r="C28" vm="244">
        <f ca="1"/>
        <v>75.87</v>
      </c>
      <c r="D28" vm="245">
        <f ca="1"/>
        <v>53.34</v>
      </c>
      <c r="E28" vm="246">
        <f ca="1"/>
        <v>113.83</v>
      </c>
      <c r="F28" s="1">
        <v>136.21</v>
      </c>
      <c r="G28" vm="247">
        <f ca="1"/>
        <v>91.86</v>
      </c>
      <c r="H28" vm="248">
        <f ca="1"/>
        <v>159.96</v>
      </c>
      <c r="I28" vm="249">
        <f ca="1"/>
        <v>220.94</v>
      </c>
    </row>
    <row r="29" spans="1:9" x14ac:dyDescent="0.25">
      <c r="A29" vm="27">
        <f ca="1"/>
        <v>44287</v>
      </c>
      <c r="B29" vm="250">
        <f ca="1"/>
        <v>417.3</v>
      </c>
      <c r="C29" vm="251">
        <f ca="1"/>
        <v>78.11</v>
      </c>
      <c r="D29" vm="252">
        <f ca="1"/>
        <v>53.98</v>
      </c>
      <c r="E29" vm="253">
        <f ca="1"/>
        <v>114.49</v>
      </c>
      <c r="F29" s="1">
        <v>138.63999999999999</v>
      </c>
      <c r="G29" vm="254">
        <f ca="1"/>
        <v>99.08</v>
      </c>
      <c r="H29" vm="255">
        <f ca="1"/>
        <v>165.66</v>
      </c>
      <c r="I29" vm="256">
        <f ca="1"/>
        <v>224.89</v>
      </c>
    </row>
    <row r="30" spans="1:9" x14ac:dyDescent="0.25">
      <c r="A30" vm="28">
        <f ca="1"/>
        <v>44317</v>
      </c>
      <c r="B30" vm="257">
        <f ca="1"/>
        <v>420.04</v>
      </c>
      <c r="C30" vm="258">
        <f ca="1"/>
        <v>80.83</v>
      </c>
      <c r="D30" vm="259">
        <f ca="1"/>
        <v>54.87</v>
      </c>
      <c r="E30" vm="260">
        <f ca="1"/>
        <v>114.55</v>
      </c>
      <c r="F30" s="1">
        <v>140.85</v>
      </c>
      <c r="G30" vm="261">
        <f ca="1"/>
        <v>99.88</v>
      </c>
      <c r="H30" vm="262">
        <f ca="1"/>
        <v>178.38</v>
      </c>
      <c r="I30" vm="263">
        <f ca="1"/>
        <v>225.5</v>
      </c>
    </row>
    <row r="31" spans="1:9" x14ac:dyDescent="0.25">
      <c r="A31" vm="29">
        <f ca="1"/>
        <v>44348</v>
      </c>
      <c r="B31" vm="264">
        <f ca="1"/>
        <v>428.06</v>
      </c>
      <c r="C31" vm="265">
        <f ca="1"/>
        <v>78.88</v>
      </c>
      <c r="D31" vm="266">
        <f ca="1"/>
        <v>55.15</v>
      </c>
      <c r="E31" vm="267">
        <f ca="1"/>
        <v>115.33</v>
      </c>
      <c r="F31" s="1">
        <v>144.6</v>
      </c>
      <c r="G31" vm="268">
        <f ca="1"/>
        <v>101.79</v>
      </c>
      <c r="H31" vm="269">
        <f ca="1"/>
        <v>165.63</v>
      </c>
      <c r="I31" vm="270">
        <f ca="1"/>
        <v>229.37</v>
      </c>
    </row>
    <row r="32" spans="1:9" x14ac:dyDescent="0.25">
      <c r="A32" vm="30">
        <f ca="1"/>
        <v>44378</v>
      </c>
      <c r="B32" vm="271">
        <f ca="1"/>
        <v>438.51</v>
      </c>
      <c r="C32" vm="272">
        <f ca="1"/>
        <v>79.489999999999995</v>
      </c>
      <c r="D32" vm="273">
        <f ca="1"/>
        <v>51.6</v>
      </c>
      <c r="E32" vm="274">
        <f ca="1"/>
        <v>116.46</v>
      </c>
      <c r="F32" s="1">
        <v>148.88</v>
      </c>
      <c r="G32" vm="275">
        <f ca="1"/>
        <v>106.29</v>
      </c>
      <c r="H32" vm="276">
        <f ca="1"/>
        <v>169.82</v>
      </c>
      <c r="I32" vm="277">
        <f ca="1"/>
        <v>221.05</v>
      </c>
    </row>
    <row r="33" spans="1:9" x14ac:dyDescent="0.25">
      <c r="A33" vm="31">
        <f ca="1"/>
        <v>44409</v>
      </c>
      <c r="B33" vm="278">
        <f ca="1"/>
        <v>451.56</v>
      </c>
      <c r="C33" vm="279">
        <f ca="1"/>
        <v>80.64</v>
      </c>
      <c r="D33" vm="280">
        <f ca="1"/>
        <v>52.41</v>
      </c>
      <c r="E33" vm="281">
        <f ca="1"/>
        <v>116.06</v>
      </c>
      <c r="F33" s="1">
        <v>148.33000000000001</v>
      </c>
      <c r="G33" vm="282">
        <f ca="1"/>
        <v>108.58</v>
      </c>
      <c r="H33" vm="283">
        <f ca="1"/>
        <v>169.69</v>
      </c>
      <c r="I33" vm="284">
        <f ca="1"/>
        <v>225.92</v>
      </c>
    </row>
    <row r="34" spans="1:9" x14ac:dyDescent="0.25">
      <c r="A34" vm="32">
        <f ca="1"/>
        <v>44440</v>
      </c>
      <c r="B34" vm="285">
        <f ca="1"/>
        <v>429.14</v>
      </c>
      <c r="C34" vm="286">
        <f ca="1"/>
        <v>78.010000000000005</v>
      </c>
      <c r="D34" vm="287">
        <f ca="1"/>
        <v>50.38</v>
      </c>
      <c r="E34" vm="288">
        <f ca="1"/>
        <v>114.83</v>
      </c>
      <c r="F34" s="1">
        <v>143.15</v>
      </c>
      <c r="G34" vm="289">
        <f ca="1"/>
        <v>101.78</v>
      </c>
      <c r="H34" vm="290">
        <f ca="1"/>
        <v>164.22</v>
      </c>
      <c r="I34" vm="291">
        <f ca="1"/>
        <v>218.75</v>
      </c>
    </row>
    <row r="35" spans="1:9" x14ac:dyDescent="0.25">
      <c r="A35" vm="33">
        <f ca="1"/>
        <v>44470</v>
      </c>
      <c r="B35" vm="292">
        <f ca="1"/>
        <v>459.25</v>
      </c>
      <c r="C35" vm="293">
        <f ca="1"/>
        <v>80.489999999999995</v>
      </c>
      <c r="D35" vm="294">
        <f ca="1"/>
        <v>50.92</v>
      </c>
      <c r="E35" vm="295">
        <f ca="1"/>
        <v>114.64</v>
      </c>
      <c r="F35" s="1">
        <v>148.06</v>
      </c>
      <c r="G35" vm="296">
        <f ca="1"/>
        <v>109.04</v>
      </c>
      <c r="H35" vm="297">
        <f ca="1"/>
        <v>166.65</v>
      </c>
      <c r="I35" vm="298">
        <f ca="1"/>
        <v>228.05</v>
      </c>
    </row>
    <row r="36" spans="1:9" x14ac:dyDescent="0.25">
      <c r="A36" vm="34">
        <f ca="1"/>
        <v>44501</v>
      </c>
      <c r="B36" vm="299">
        <f ca="1"/>
        <v>455.56</v>
      </c>
      <c r="C36" vm="300">
        <f ca="1"/>
        <v>76.84</v>
      </c>
      <c r="D36" vm="301">
        <f ca="1"/>
        <v>48.84</v>
      </c>
      <c r="E36" vm="302">
        <f ca="1"/>
        <v>114.77</v>
      </c>
      <c r="F36" s="1">
        <v>152.01</v>
      </c>
      <c r="G36" vm="303">
        <f ca="1"/>
        <v>106.74</v>
      </c>
      <c r="H36" vm="304">
        <f ca="1"/>
        <v>165.5</v>
      </c>
      <c r="I36" vm="305">
        <f ca="1"/>
        <v>218.17</v>
      </c>
    </row>
    <row r="37" spans="1:9" x14ac:dyDescent="0.25">
      <c r="A37" vm="35">
        <f ca="1"/>
        <v>44531</v>
      </c>
      <c r="B37" vm="306">
        <f ca="1"/>
        <v>474.96</v>
      </c>
      <c r="C37" vm="307">
        <f ca="1"/>
        <v>78.680000000000007</v>
      </c>
      <c r="D37" vm="308">
        <f ca="1"/>
        <v>48.85</v>
      </c>
      <c r="E37" vm="309">
        <f ca="1"/>
        <v>114.08</v>
      </c>
      <c r="F37" s="1">
        <v>148.18</v>
      </c>
      <c r="G37" vm="310">
        <f ca="1"/>
        <v>116.01</v>
      </c>
      <c r="H37" vm="311">
        <f ca="1"/>
        <v>170.96</v>
      </c>
      <c r="I37" vm="312">
        <f ca="1"/>
        <v>222.45</v>
      </c>
    </row>
    <row r="38" spans="1:9" x14ac:dyDescent="0.25">
      <c r="A38" vm="36">
        <f ca="1"/>
        <v>44562</v>
      </c>
      <c r="B38" vm="313">
        <f ca="1"/>
        <v>449.91</v>
      </c>
      <c r="C38" vm="314">
        <f ca="1"/>
        <v>75.819999999999993</v>
      </c>
      <c r="D38" vm="301">
        <f ca="1"/>
        <v>48.84</v>
      </c>
      <c r="E38" vm="315">
        <f ca="1"/>
        <v>111.8</v>
      </c>
      <c r="F38" s="1">
        <v>143.19999999999999</v>
      </c>
      <c r="G38" vm="316">
        <f ca="1"/>
        <v>106.24</v>
      </c>
      <c r="H38" vm="317">
        <f ca="1"/>
        <v>168.09</v>
      </c>
      <c r="I38" vm="318">
        <f ca="1"/>
        <v>201.24</v>
      </c>
    </row>
    <row r="39" spans="1:9" x14ac:dyDescent="0.25">
      <c r="A39" vm="37">
        <f ca="1"/>
        <v>44593</v>
      </c>
      <c r="B39" vm="319">
        <f ca="1"/>
        <v>436.63</v>
      </c>
      <c r="C39" vm="320">
        <f ca="1"/>
        <v>73.22</v>
      </c>
      <c r="D39" vm="321">
        <f ca="1"/>
        <v>46.73</v>
      </c>
      <c r="E39" vm="322">
        <f ca="1"/>
        <v>110.36</v>
      </c>
      <c r="F39" s="1">
        <v>141.01</v>
      </c>
      <c r="G39" vm="323">
        <f ca="1"/>
        <v>102.54</v>
      </c>
      <c r="H39" vm="262">
        <f ca="1"/>
        <v>178.38</v>
      </c>
      <c r="I39" vm="324">
        <f ca="1"/>
        <v>203.32</v>
      </c>
    </row>
    <row r="40" spans="1:9" x14ac:dyDescent="0.25">
      <c r="A40" vm="38">
        <f ca="1"/>
        <v>44621</v>
      </c>
      <c r="B40" vm="325">
        <f ca="1"/>
        <v>451.64</v>
      </c>
      <c r="C40" vm="326">
        <f ca="1"/>
        <v>73.599999999999994</v>
      </c>
      <c r="D40" vm="327">
        <f ca="1"/>
        <v>45.15</v>
      </c>
      <c r="E40" vm="328">
        <f ca="1"/>
        <v>107.1</v>
      </c>
      <c r="F40" s="1">
        <v>133</v>
      </c>
      <c r="G40" vm="329">
        <f ca="1"/>
        <v>108.37</v>
      </c>
      <c r="H40" vm="330">
        <f ca="1"/>
        <v>180.65</v>
      </c>
      <c r="I40" vm="331">
        <f ca="1"/>
        <v>205.27</v>
      </c>
    </row>
    <row r="41" spans="1:9" x14ac:dyDescent="0.25">
      <c r="A41" vm="39">
        <f ca="1"/>
        <v>44652</v>
      </c>
      <c r="B41" vm="332">
        <f ca="1"/>
        <v>412</v>
      </c>
      <c r="C41" vm="333">
        <f ca="1"/>
        <v>68.64</v>
      </c>
      <c r="D41" vm="334">
        <f ca="1"/>
        <v>42.38</v>
      </c>
      <c r="E41" vm="335">
        <f ca="1"/>
        <v>102.87</v>
      </c>
      <c r="F41" s="1">
        <v>120.91</v>
      </c>
      <c r="G41" vm="336">
        <f ca="1"/>
        <v>103.94</v>
      </c>
      <c r="H41" vm="337">
        <f ca="1"/>
        <v>176.91</v>
      </c>
      <c r="I41" vm="338">
        <f ca="1"/>
        <v>184.95</v>
      </c>
    </row>
    <row r="42" spans="1:9" x14ac:dyDescent="0.25">
      <c r="A42" vm="40">
        <f ca="1"/>
        <v>44682</v>
      </c>
      <c r="B42" vm="339">
        <f ca="1"/>
        <v>412.93</v>
      </c>
      <c r="C42" vm="340">
        <f ca="1"/>
        <v>70.010000000000005</v>
      </c>
      <c r="D42" vm="341">
        <f ca="1"/>
        <v>42.64</v>
      </c>
      <c r="E42" vm="342">
        <f ca="1"/>
        <v>103.47</v>
      </c>
      <c r="F42" s="1">
        <v>117.27</v>
      </c>
      <c r="G42" vm="343">
        <f ca="1"/>
        <v>99.07</v>
      </c>
      <c r="H42" vm="344">
        <f ca="1"/>
        <v>171.14</v>
      </c>
      <c r="I42" vm="345">
        <f ca="1"/>
        <v>185.31</v>
      </c>
    </row>
    <row r="43" spans="1:9" x14ac:dyDescent="0.25">
      <c r="A43" vm="41">
        <f ca="1"/>
        <v>44713</v>
      </c>
      <c r="B43" vm="346">
        <f ca="1"/>
        <v>377.25</v>
      </c>
      <c r="C43" vm="347">
        <f ca="1"/>
        <v>62.49</v>
      </c>
      <c r="D43" vm="348">
        <f ca="1"/>
        <v>40.1</v>
      </c>
      <c r="E43" vm="349">
        <f ca="1"/>
        <v>101.68</v>
      </c>
      <c r="F43" s="1">
        <v>115.35</v>
      </c>
      <c r="G43" vm="350">
        <f ca="1"/>
        <v>91.11</v>
      </c>
      <c r="H43" vm="351">
        <f ca="1"/>
        <v>168.46</v>
      </c>
      <c r="I43" vm="352">
        <f ca="1"/>
        <v>169.36</v>
      </c>
    </row>
    <row r="44" spans="1:9" x14ac:dyDescent="0.25">
      <c r="A44" vm="42">
        <f ca="1"/>
        <v>44743</v>
      </c>
      <c r="B44" vm="353">
        <f ca="1"/>
        <v>411.99</v>
      </c>
      <c r="C44" vm="354">
        <f ca="1"/>
        <v>65.72</v>
      </c>
      <c r="D44" vm="355">
        <f ca="1"/>
        <v>39.96</v>
      </c>
      <c r="E44" vm="356">
        <f ca="1"/>
        <v>104.07</v>
      </c>
      <c r="F44" s="1">
        <v>118.21</v>
      </c>
      <c r="G44" vm="357">
        <f ca="1"/>
        <v>98.96</v>
      </c>
      <c r="H44" vm="358">
        <f ca="1"/>
        <v>164.1</v>
      </c>
      <c r="I44" vm="359">
        <f ca="1"/>
        <v>187.25</v>
      </c>
    </row>
    <row r="45" spans="1:9" x14ac:dyDescent="0.25">
      <c r="A45" vm="43">
        <f ca="1"/>
        <v>44774</v>
      </c>
      <c r="B45" vm="360">
        <f ca="1"/>
        <v>395.18</v>
      </c>
      <c r="C45" vm="361">
        <f ca="1"/>
        <v>61.7</v>
      </c>
      <c r="D45" vm="362">
        <f ca="1"/>
        <v>39.43</v>
      </c>
      <c r="E45" vm="363">
        <f ca="1"/>
        <v>100.71</v>
      </c>
      <c r="F45" s="1">
        <v>112.98</v>
      </c>
      <c r="G45" vm="364">
        <f ca="1"/>
        <v>93.01</v>
      </c>
      <c r="H45" vm="365">
        <f ca="1"/>
        <v>159.27000000000001</v>
      </c>
      <c r="I45" vm="366">
        <f ca="1"/>
        <v>183.5</v>
      </c>
    </row>
    <row r="46" spans="1:9" x14ac:dyDescent="0.25">
      <c r="A46" vm="44">
        <f ca="1"/>
        <v>44805</v>
      </c>
      <c r="B46" vm="367">
        <f ca="1"/>
        <v>357.18</v>
      </c>
      <c r="C46" vm="368">
        <f ca="1"/>
        <v>56.01</v>
      </c>
      <c r="D46" vm="369">
        <f ca="1"/>
        <v>34.880000000000003</v>
      </c>
      <c r="E46" vm="370">
        <f ca="1"/>
        <v>96.34</v>
      </c>
      <c r="F46" s="1">
        <v>103.22</v>
      </c>
      <c r="G46" vm="371">
        <f ca="1"/>
        <v>80.17</v>
      </c>
      <c r="H46" vm="372">
        <f ca="1"/>
        <v>154.66999999999999</v>
      </c>
      <c r="I46" vm="373">
        <f ca="1"/>
        <v>164.92</v>
      </c>
    </row>
    <row r="47" spans="1:9" x14ac:dyDescent="0.25">
      <c r="A47" vm="45">
        <f ca="1"/>
        <v>44835</v>
      </c>
      <c r="B47" vm="374">
        <f ca="1"/>
        <v>386.21</v>
      </c>
      <c r="C47" vm="375">
        <f ca="1"/>
        <v>59.31</v>
      </c>
      <c r="D47" vm="376">
        <f ca="1"/>
        <v>34.19</v>
      </c>
      <c r="E47" vm="377">
        <f ca="1"/>
        <v>94.9</v>
      </c>
      <c r="F47" s="1">
        <v>96.9</v>
      </c>
      <c r="G47" vm="378">
        <f ca="1"/>
        <v>82.98</v>
      </c>
      <c r="H47" vm="379">
        <f ca="1"/>
        <v>151.91</v>
      </c>
      <c r="I47" vm="380">
        <f ca="1"/>
        <v>183.33</v>
      </c>
    </row>
    <row r="48" spans="1:9" x14ac:dyDescent="0.25">
      <c r="A48" vm="46">
        <f ca="1"/>
        <v>44866</v>
      </c>
      <c r="B48" vm="381">
        <f ca="1"/>
        <v>407.68</v>
      </c>
      <c r="C48" vm="382">
        <f ca="1"/>
        <v>67.12</v>
      </c>
      <c r="D48" vm="383">
        <f ca="1"/>
        <v>39.520000000000003</v>
      </c>
      <c r="E48" vm="384">
        <f ca="1"/>
        <v>98.29</v>
      </c>
      <c r="F48" s="1">
        <v>101.99</v>
      </c>
      <c r="G48" vm="385">
        <f ca="1"/>
        <v>88.08</v>
      </c>
      <c r="H48" vm="386">
        <f ca="1"/>
        <v>164.81</v>
      </c>
      <c r="I48" vm="387">
        <f ca="1"/>
        <v>187.37</v>
      </c>
    </row>
    <row r="49" spans="1:9" x14ac:dyDescent="0.25">
      <c r="A49" vm="47">
        <f ca="1"/>
        <v>44896</v>
      </c>
      <c r="B49" vm="388">
        <f ca="1"/>
        <v>382.43</v>
      </c>
      <c r="C49" vm="389">
        <f ca="1"/>
        <v>65.64</v>
      </c>
      <c r="D49" vm="390">
        <f ca="1"/>
        <v>37.9</v>
      </c>
      <c r="E49" vm="391">
        <f ca="1"/>
        <v>96.99</v>
      </c>
      <c r="F49" s="1">
        <v>100.56</v>
      </c>
      <c r="G49" vm="392">
        <f ca="1"/>
        <v>82.48</v>
      </c>
      <c r="H49" vm="393">
        <f ca="1"/>
        <v>169.64</v>
      </c>
      <c r="I49" vm="394">
        <f ca="1"/>
        <v>174.36</v>
      </c>
    </row>
    <row r="50" spans="1:9" x14ac:dyDescent="0.25">
      <c r="A50" vm="48">
        <f ca="1"/>
        <v>44927</v>
      </c>
      <c r="B50" vm="395">
        <f ca="1"/>
        <v>406.48</v>
      </c>
      <c r="C50" vm="396">
        <f ca="1"/>
        <v>71.55</v>
      </c>
      <c r="D50" vm="397">
        <f ca="1"/>
        <v>41.36</v>
      </c>
      <c r="E50" vm="398">
        <f ca="1"/>
        <v>100.22</v>
      </c>
      <c r="F50" s="1">
        <v>107.28</v>
      </c>
      <c r="G50" vm="399">
        <f ca="1"/>
        <v>91.06</v>
      </c>
      <c r="H50" vm="400">
        <f ca="1"/>
        <v>179.41</v>
      </c>
      <c r="I50" vm="401">
        <f ca="1"/>
        <v>191.48</v>
      </c>
    </row>
    <row r="51" spans="1:9" x14ac:dyDescent="0.25">
      <c r="A51" vm="49">
        <f ca="1"/>
        <v>44958</v>
      </c>
      <c r="B51" vm="402">
        <f ca="1"/>
        <v>396.26</v>
      </c>
      <c r="C51" vm="403">
        <f ca="1"/>
        <v>69.349999999999994</v>
      </c>
      <c r="D51" vm="404">
        <f ca="1"/>
        <v>38.229999999999997</v>
      </c>
      <c r="E51" vm="405">
        <f ca="1"/>
        <v>97.31</v>
      </c>
      <c r="F51" s="1">
        <v>101.91</v>
      </c>
      <c r="G51" vm="406">
        <f ca="1"/>
        <v>85.72</v>
      </c>
      <c r="H51" vm="407">
        <f ca="1"/>
        <v>169.78</v>
      </c>
      <c r="I51" vm="408">
        <f ca="1"/>
        <v>188.18</v>
      </c>
    </row>
    <row r="52" spans="1:9" x14ac:dyDescent="0.25">
      <c r="A52" vm="50">
        <f ca="1"/>
        <v>44986</v>
      </c>
      <c r="B52" vm="409">
        <f ca="1"/>
        <v>409.39</v>
      </c>
      <c r="C52" vm="410">
        <f ca="1"/>
        <v>71.52</v>
      </c>
      <c r="D52" vm="411">
        <f ca="1"/>
        <v>39.46</v>
      </c>
      <c r="E52" vm="412">
        <f ca="1"/>
        <v>99.64</v>
      </c>
      <c r="F52" s="1">
        <v>106.63</v>
      </c>
      <c r="G52" vm="413">
        <f ca="1"/>
        <v>83.04</v>
      </c>
      <c r="H52" vm="414">
        <f ca="1"/>
        <v>183.22</v>
      </c>
      <c r="I52" vm="415">
        <f ca="1"/>
        <v>178.4</v>
      </c>
    </row>
    <row r="53" spans="1:9" x14ac:dyDescent="0.25">
      <c r="A53" vm="51">
        <f ca="1"/>
        <v>45017</v>
      </c>
      <c r="B53" vm="416">
        <f ca="1"/>
        <v>415.93</v>
      </c>
      <c r="C53" vm="417">
        <f ca="1"/>
        <v>73.62</v>
      </c>
      <c r="D53" vm="418">
        <f ca="1"/>
        <v>39.130000000000003</v>
      </c>
      <c r="E53" vm="419">
        <f ca="1"/>
        <v>99.96</v>
      </c>
      <c r="F53" s="1">
        <v>106.01</v>
      </c>
      <c r="G53" vm="420">
        <f ca="1"/>
        <v>83.3</v>
      </c>
      <c r="H53" vm="421">
        <f ca="1"/>
        <v>184.8</v>
      </c>
      <c r="I53" vm="422">
        <f ca="1"/>
        <v>175.2</v>
      </c>
    </row>
    <row r="54" spans="1:9" x14ac:dyDescent="0.25">
      <c r="A54" vm="52">
        <f ca="1"/>
        <v>45047</v>
      </c>
      <c r="B54" vm="423">
        <f ca="1"/>
        <v>417.85</v>
      </c>
      <c r="C54" vm="424">
        <f ca="1"/>
        <v>70.67</v>
      </c>
      <c r="D54" vm="425">
        <f ca="1"/>
        <v>38.19</v>
      </c>
      <c r="E54" vm="426">
        <f ca="1"/>
        <v>98.57</v>
      </c>
      <c r="F54" s="1">
        <v>102.5</v>
      </c>
      <c r="G54" vm="427">
        <f ca="1"/>
        <v>80</v>
      </c>
      <c r="H54" vm="428">
        <f ca="1"/>
        <v>182.32</v>
      </c>
      <c r="I54" vm="429">
        <f ca="1"/>
        <v>173.77</v>
      </c>
    </row>
    <row r="55" spans="1:9" x14ac:dyDescent="0.25">
      <c r="A55" vm="53">
        <f ca="1"/>
        <v>45078</v>
      </c>
      <c r="B55" vm="430">
        <f ca="1"/>
        <v>443.28</v>
      </c>
      <c r="C55" vm="431">
        <f ca="1"/>
        <v>72.5</v>
      </c>
      <c r="D55" vm="432">
        <f ca="1"/>
        <v>39.56</v>
      </c>
      <c r="E55" vm="433">
        <f ca="1"/>
        <v>97.95</v>
      </c>
      <c r="F55" s="1">
        <v>102.13</v>
      </c>
      <c r="G55" vm="434">
        <f ca="1"/>
        <v>83.56</v>
      </c>
      <c r="H55" vm="435">
        <f ca="1"/>
        <v>178.27</v>
      </c>
      <c r="I55" vm="436">
        <f ca="1"/>
        <v>187.27</v>
      </c>
    </row>
    <row r="56" spans="1:9" x14ac:dyDescent="0.25">
      <c r="A56" vm="54">
        <f ca="1"/>
        <v>45108</v>
      </c>
      <c r="B56" vm="437">
        <f ca="1"/>
        <v>457.79</v>
      </c>
      <c r="C56" vm="438">
        <f ca="1"/>
        <v>74.459999999999994</v>
      </c>
      <c r="D56" vm="439">
        <f ca="1"/>
        <v>41.95</v>
      </c>
      <c r="E56" vm="440">
        <f ca="1"/>
        <v>97.68</v>
      </c>
      <c r="F56" s="1">
        <v>98.7</v>
      </c>
      <c r="G56" vm="441">
        <f ca="1"/>
        <v>85.26</v>
      </c>
      <c r="H56" vm="442">
        <f ca="1"/>
        <v>182.35</v>
      </c>
      <c r="I56" vm="443">
        <f ca="1"/>
        <v>198.71</v>
      </c>
    </row>
    <row r="57" spans="1:9" x14ac:dyDescent="0.25">
      <c r="A57" vm="55">
        <f ca="1"/>
        <v>45139</v>
      </c>
      <c r="B57" vm="444">
        <f ca="1"/>
        <v>450.35</v>
      </c>
      <c r="C57" vm="445">
        <f ca="1"/>
        <v>71.53</v>
      </c>
      <c r="D57" vm="446">
        <f ca="1"/>
        <v>39.17</v>
      </c>
      <c r="E57" vm="447">
        <f ca="1"/>
        <v>96.8</v>
      </c>
      <c r="F57" s="1">
        <v>95.66</v>
      </c>
      <c r="G57" vm="448">
        <f ca="1"/>
        <v>82.38</v>
      </c>
      <c r="H57" vm="449">
        <f ca="1"/>
        <v>180.02</v>
      </c>
      <c r="I57" vm="450">
        <f ca="1"/>
        <v>188.61</v>
      </c>
    </row>
    <row r="58" spans="1:9" x14ac:dyDescent="0.25">
      <c r="A58" vm="56">
        <f ca="1"/>
        <v>45170</v>
      </c>
      <c r="B58" vm="451">
        <f ca="1"/>
        <v>427.48</v>
      </c>
      <c r="C58" vm="452">
        <f ca="1"/>
        <v>68.92</v>
      </c>
      <c r="D58" vm="453">
        <f ca="1"/>
        <v>37.950000000000003</v>
      </c>
      <c r="E58" vm="454">
        <f ca="1"/>
        <v>94.04</v>
      </c>
      <c r="F58" s="1">
        <v>88.22</v>
      </c>
      <c r="G58" vm="455">
        <f ca="1"/>
        <v>75.66</v>
      </c>
      <c r="H58" vm="456">
        <f ca="1"/>
        <v>171.45</v>
      </c>
      <c r="I58" vm="457">
        <f ca="1"/>
        <v>176.74</v>
      </c>
    </row>
    <row r="59" spans="1:9" x14ac:dyDescent="0.25">
      <c r="A59" vm="57">
        <f ca="1"/>
        <v>45200</v>
      </c>
      <c r="B59" vm="458">
        <f ca="1"/>
        <v>418.2</v>
      </c>
      <c r="C59" vm="459">
        <f ca="1"/>
        <v>66.92</v>
      </c>
      <c r="D59" vm="460">
        <f ca="1"/>
        <v>36.700000000000003</v>
      </c>
      <c r="E59" vm="461">
        <f ca="1"/>
        <v>92.31</v>
      </c>
      <c r="F59" s="1">
        <v>83.33</v>
      </c>
      <c r="G59" vm="462">
        <f ca="1"/>
        <v>72.92</v>
      </c>
      <c r="H59" vm="463">
        <f ca="1"/>
        <v>184.09</v>
      </c>
      <c r="I59" vm="464">
        <f ca="1"/>
        <v>164.52</v>
      </c>
    </row>
    <row r="60" spans="1:9" x14ac:dyDescent="0.25">
      <c r="A60" vm="58">
        <f ca="1"/>
        <v>45231</v>
      </c>
      <c r="B60" vm="465">
        <f ca="1"/>
        <v>456.4</v>
      </c>
      <c r="C60" vm="466">
        <f ca="1"/>
        <v>72.42</v>
      </c>
      <c r="D60" vm="432">
        <f ca="1"/>
        <v>39.56</v>
      </c>
      <c r="E60" vm="467">
        <f ca="1"/>
        <v>96.26</v>
      </c>
      <c r="F60" s="1">
        <v>91.31</v>
      </c>
      <c r="G60" vm="468">
        <f ca="1"/>
        <v>81.73</v>
      </c>
      <c r="H60" vm="469">
        <f ca="1"/>
        <v>188.75</v>
      </c>
      <c r="I60" vm="470">
        <f ca="1"/>
        <v>179.66</v>
      </c>
    </row>
    <row r="61" spans="1:9" x14ac:dyDescent="0.25">
      <c r="A61" vm="59">
        <f ca="1"/>
        <v>45261</v>
      </c>
      <c r="B61" vm="471">
        <f ca="1"/>
        <v>475.31</v>
      </c>
      <c r="C61" vm="472">
        <f ca="1"/>
        <v>75.349999999999994</v>
      </c>
      <c r="D61" vm="473">
        <f ca="1"/>
        <v>40.21</v>
      </c>
      <c r="E61" vm="474">
        <f ca="1"/>
        <v>99.25</v>
      </c>
      <c r="F61" s="1">
        <v>98.88</v>
      </c>
      <c r="G61" vm="475">
        <f ca="1"/>
        <v>88.36</v>
      </c>
      <c r="H61" vm="476">
        <f ca="1"/>
        <v>191.17</v>
      </c>
      <c r="I61" vm="477">
        <f ca="1"/>
        <v>200.71</v>
      </c>
    </row>
    <row r="62" spans="1:9" x14ac:dyDescent="0.25">
      <c r="A62" vm="60">
        <f ca="1"/>
        <v>45292</v>
      </c>
      <c r="B62" vm="478">
        <f ca="1"/>
        <v>482.88</v>
      </c>
      <c r="C62" vm="479">
        <f ca="1"/>
        <v>75.010000000000005</v>
      </c>
      <c r="D62" vm="480">
        <f ca="1"/>
        <v>38.39</v>
      </c>
      <c r="E62" vm="481">
        <f ca="1"/>
        <v>99.1</v>
      </c>
      <c r="F62" s="1">
        <v>94.75</v>
      </c>
      <c r="G62" vm="482">
        <f ca="1"/>
        <v>83.89</v>
      </c>
      <c r="H62" vm="483">
        <f ca="1"/>
        <v>188.45</v>
      </c>
      <c r="I62" vm="484">
        <f ca="1"/>
        <v>192.88</v>
      </c>
    </row>
  </sheetData>
  <pageMargins left="0.25" right="0.25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Portfolio_Model</vt:lpstr>
      <vt:lpstr>Correlation_Heatmap</vt:lpstr>
      <vt:lpstr>Matrices</vt:lpstr>
      <vt:lpstr>Returns</vt:lpstr>
      <vt:lpstr>Historical_Data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Dubey</dc:creator>
  <cp:lastModifiedBy>Kunal Dubey</cp:lastModifiedBy>
  <cp:lastPrinted>2026-08-27T23:17:39Z</cp:lastPrinted>
  <dcterms:created xsi:type="dcterms:W3CDTF">2026-08-24T23:15:28Z</dcterms:created>
  <dcterms:modified xsi:type="dcterms:W3CDTF">2026-09-02T00:42:01Z</dcterms:modified>
</cp:coreProperties>
</file>